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OneDrive\Desktop\MapUp-DA-Assessment-2024\"/>
    </mc:Choice>
  </mc:AlternateContent>
  <xr:revisionPtr revIDLastSave="0" documentId="13_ncr:1_{7CE1D03D-96FB-4EB2-965B-F906B23ECAFD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23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B6" i="18"/>
  <c r="C6" i="18"/>
  <c r="D6" i="18"/>
  <c r="E6" i="18"/>
  <c r="F6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23" i="20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24" i="20"/>
  <c r="C25" i="20"/>
  <c r="C26" i="20"/>
  <c r="C27" i="20"/>
  <c r="C28" i="20"/>
  <c r="C29" i="20"/>
  <c r="C30" i="20"/>
  <c r="C31" i="20"/>
  <c r="C32" i="20"/>
  <c r="C33" i="20"/>
  <c r="C34" i="20"/>
  <c r="C35" i="20"/>
  <c r="C16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H42" i="23"/>
  <c r="F28" i="18" l="1"/>
  <c r="C30" i="18"/>
  <c r="F30" i="18"/>
  <c r="E30" i="18"/>
  <c r="D28" i="18"/>
  <c r="C29" i="18"/>
  <c r="B28" i="18"/>
  <c r="F29" i="18"/>
  <c r="D29" i="18"/>
  <c r="B30" i="18"/>
  <c r="C28" i="18"/>
  <c r="E28" i="18"/>
  <c r="B29" i="18"/>
  <c r="E29" i="18"/>
  <c r="D30" i="18"/>
</calcChain>
</file>

<file path=xl/sharedStrings.xml><?xml version="1.0" encoding="utf-8"?>
<sst xmlns="http://schemas.openxmlformats.org/spreadsheetml/2006/main" count="341" uniqueCount="193">
  <si>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</si>
  <si>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</si>
  <si>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</si>
  <si>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</si>
  <si>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</si>
  <si>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</si>
  <si>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</si>
  <si>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</si>
  <si>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</si>
  <si>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</si>
  <si>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</si>
  <si>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</si>
  <si>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</si>
  <si>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</si>
  <si>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</si>
  <si>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</si>
  <si>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</si>
  <si>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</si>
  <si>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</si>
  <si>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</si>
  <si>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</si>
  <si>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</si>
  <si>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</si>
  <si>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</si>
  <si>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</si>
  <si>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</si>
  <si>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</si>
  <si>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</si>
  <si>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</si>
  <si>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</si>
  <si>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</si>
  <si>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</si>
  <si>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</si>
  <si>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</si>
  <si>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</si>
  <si>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</si>
  <si>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</si>
  <si>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</si>
  <si>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</si>
  <si>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</si>
  <si>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</si>
  <si>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</si>
  <si>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</si>
  <si>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</si>
  <si>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</si>
  <si>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</si>
  <si>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</si>
  <si>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</si>
  <si>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</si>
  <si>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</si>
  <si>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</si>
  <si>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</si>
  <si>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</si>
  <si>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</si>
  <si>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</si>
  <si>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</si>
  <si>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</si>
  <si>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</si>
  <si>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</si>
  <si>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</si>
  <si>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</si>
  <si>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</si>
  <si>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</si>
  <si>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</si>
  <si>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</si>
  <si>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</si>
  <si>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</si>
  <si>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</si>
  <si>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</si>
  <si>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</si>
  <si>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</si>
  <si>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</si>
  <si>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</si>
  <si>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</si>
  <si>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</si>
  <si>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</si>
  <si>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</si>
  <si>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</si>
  <si>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</si>
  <si>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</si>
  <si>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</si>
  <si>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</si>
  <si>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</si>
  <si>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</si>
  <si>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</si>
  <si>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</si>
  <si>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</si>
  <si>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</si>
  <si>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</si>
  <si>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</si>
  <si>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</si>
  <si>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</si>
  <si>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</si>
  <si>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</si>
  <si>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</si>
  <si>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</si>
  <si>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</si>
  <si>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</si>
  <si>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</si>
  <si>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</si>
  <si>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</si>
  <si>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</si>
  <si>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</si>
  <si>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</si>
  <si>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</si>
  <si>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</si>
  <si>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</si>
  <si>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</si>
  <si>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</si>
  <si>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</si>
  <si>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</si>
  <si>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</si>
  <si>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</si>
  <si>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</si>
  <si>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</si>
  <si>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</si>
  <si>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</si>
  <si>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</si>
  <si>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</si>
  <si>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</si>
  <si>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</si>
  <si>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</si>
  <si>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</si>
  <si>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</si>
  <si>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</si>
  <si>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</si>
  <si>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</si>
  <si>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</si>
  <si>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</si>
  <si>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</si>
  <si>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</si>
  <si>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</si>
  <si>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</si>
  <si>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</si>
  <si>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</si>
  <si>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</si>
  <si>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</si>
  <si>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</si>
  <si>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</si>
  <si>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</si>
  <si>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</si>
  <si>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</si>
  <si>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</si>
  <si>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</si>
  <si>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</si>
  <si>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</si>
  <si>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</si>
  <si>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</si>
  <si>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</si>
  <si>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</si>
  <si>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</si>
  <si>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</si>
  <si>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</si>
  <si>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</si>
  <si>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</si>
  <si>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</si>
  <si>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</si>
  <si>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</si>
  <si>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</si>
  <si>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</si>
  <si>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</si>
  <si>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</si>
  <si>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</si>
  <si>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</si>
  <si>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</si>
  <si>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</si>
  <si>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</si>
  <si>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</si>
  <si>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</si>
  <si>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</si>
  <si>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</si>
  <si>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</si>
  <si>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</si>
  <si>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</si>
  <si>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</si>
  <si>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</si>
  <si>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</si>
  <si>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done</t>
  </si>
  <si>
    <t>SUMIF(Table1[car2],"&gt;20")</t>
  </si>
  <si>
    <t>sum of all values greater than 20 in car2 column</t>
  </si>
  <si>
    <t>LEFT([@values], FIND("-", [@values])-1)</t>
  </si>
  <si>
    <t>MID([@values], FIND("-", [@values]) + 1, FIND("-", [@values], FIND("-", [@values]) + 1) - FIND("-", [@values]) - 1)</t>
  </si>
  <si>
    <t>RIGHT([@values], LEN([@values]) - FIND("#", SUBSTITUTE([@values], "-", "#", 4)))</t>
  </si>
  <si>
    <r>
      <t xml:space="preserve">The </t>
    </r>
    <r>
      <rPr>
        <b/>
        <sz val="10"/>
        <color rgb="FF000000"/>
        <rFont val="Calibri"/>
        <family val="2"/>
      </rPr>
      <t>LEFT</t>
    </r>
    <r>
      <rPr>
        <sz val="10"/>
        <color rgb="FF000000"/>
        <rFont val="Calibri"/>
        <family val="2"/>
      </rPr>
      <t xml:space="preserve"> function extracts a specified number of characters from the beginning (left side) of a text string.</t>
    </r>
  </si>
  <si>
    <r>
      <t xml:space="preserve">The </t>
    </r>
    <r>
      <rPr>
        <b/>
        <sz val="10"/>
        <color rgb="FF000000"/>
        <rFont val="Calibri"/>
        <family val="2"/>
      </rPr>
      <t>RIGHT</t>
    </r>
    <r>
      <rPr>
        <sz val="10"/>
        <color rgb="FF000000"/>
        <rFont val="Calibri"/>
        <family val="2"/>
      </rPr>
      <t xml:space="preserve"> function extracts a specified number of characters from the end (right side) of a text string.</t>
    </r>
  </si>
  <si>
    <r>
      <t xml:space="preserve">The </t>
    </r>
    <r>
      <rPr>
        <b/>
        <sz val="10"/>
        <color rgb="FF000000"/>
        <rFont val="Calibri"/>
        <family val="2"/>
      </rPr>
      <t>MID</t>
    </r>
    <r>
      <rPr>
        <sz val="10"/>
        <color rgb="FF000000"/>
        <rFont val="Calibri"/>
        <family val="2"/>
      </rPr>
      <t xml:space="preserve"> function extracts a specific number of characters from a text string, starting at a position we define.</t>
    </r>
  </si>
  <si>
    <t>Column1</t>
  </si>
  <si>
    <t>INDEX(Table5[[A]:[I]],MATCH(VLOOKUP([name_1], Table6, 2, FALSE), Table5[Column1], 0),MATCH(VLOOKUP([name_2], Table6, 2, FALSE), Table5[[#Headers],[A]:[I]], 0))</t>
  </si>
  <si>
    <r>
      <t xml:space="preserve">The </t>
    </r>
    <r>
      <rPr>
        <b/>
        <sz val="11"/>
        <color rgb="FF000000"/>
        <rFont val="Calibri"/>
        <family val="2"/>
        <scheme val="minor"/>
      </rPr>
      <t>MATCH</t>
    </r>
    <r>
      <rPr>
        <sz val="11"/>
        <color rgb="FF000000"/>
        <rFont val="Calibri"/>
        <family val="2"/>
        <scheme val="minor"/>
      </rPr>
      <t xml:space="preserve"> functions find the exact row and column positions in </t>
    </r>
    <r>
      <rPr>
        <b/>
        <sz val="11"/>
        <color rgb="FF000000"/>
        <rFont val="Calibri"/>
        <family val="2"/>
        <scheme val="minor"/>
      </rPr>
      <t>Table_A</t>
    </r>
  </si>
  <si>
    <r>
      <rPr>
        <sz val="11"/>
        <color rgb="FF000000"/>
        <rFont val="Calibri"/>
        <family val="2"/>
        <scheme val="minor"/>
      </rPr>
      <t xml:space="preserve">The </t>
    </r>
    <r>
      <rPr>
        <b/>
        <sz val="11"/>
        <color rgb="FF000000"/>
        <rFont val="Calibri"/>
        <family val="2"/>
        <scheme val="minor"/>
      </rPr>
      <t xml:space="preserve">INDEX </t>
    </r>
    <r>
      <rPr>
        <sz val="11"/>
        <color rgb="FF000000"/>
        <rFont val="Calibri"/>
        <family val="2"/>
        <scheme val="minor"/>
      </rPr>
      <t xml:space="preserve">function fetches the value at the specified row and column in </t>
    </r>
    <r>
      <rPr>
        <b/>
        <sz val="11"/>
        <color rgb="FF000000"/>
        <rFont val="Calibri"/>
        <family val="2"/>
        <scheme val="minor"/>
      </rPr>
      <t>Table_A</t>
    </r>
    <r>
      <rPr>
        <sz val="11"/>
        <color rgb="FF000000"/>
        <rFont val="Calibri"/>
        <family val="2"/>
        <scheme val="minor"/>
      </rPr>
      <t>.</t>
    </r>
  </si>
  <si>
    <r>
      <t>The</t>
    </r>
    <r>
      <rPr>
        <b/>
        <sz val="11"/>
        <color rgb="FF000000"/>
        <rFont val="Calibri"/>
        <family val="2"/>
      </rPr>
      <t xml:space="preserve"> VLOOKUP</t>
    </r>
    <r>
      <rPr>
        <sz val="11"/>
        <color rgb="FF000000"/>
        <rFont val="Calibri"/>
        <family val="2"/>
      </rPr>
      <t xml:space="preserve"> functions retrieve corresponding row and column positions values for name_1 and name_2 from</t>
    </r>
    <r>
      <rPr>
        <b/>
        <sz val="11"/>
        <color rgb="FF000000"/>
        <rFont val="Calibri"/>
        <family val="2"/>
      </rPr>
      <t xml:space="preserve"> Table_B</t>
    </r>
  </si>
  <si>
    <t>SUM(IFERROR(Table10[Sales],20))</t>
  </si>
  <si>
    <r>
      <t xml:space="preserve">This formula is array formula it works when we click </t>
    </r>
    <r>
      <rPr>
        <b/>
        <sz val="11"/>
        <color rgb="FF000000"/>
        <rFont val="Calibri"/>
        <family val="2"/>
        <scheme val="minor"/>
      </rPr>
      <t>ctrl+shift+enter</t>
    </r>
    <r>
      <rPr>
        <sz val="11"/>
        <color rgb="FF000000"/>
        <rFont val="Calibri"/>
        <family val="2"/>
        <scheme val="minor"/>
      </rPr>
      <t xml:space="preserve"> sums the values in the column Sales of </t>
    </r>
    <r>
      <rPr>
        <b/>
        <sz val="11"/>
        <color rgb="FF000000"/>
        <rFont val="Calibri"/>
        <family val="2"/>
        <scheme val="minor"/>
      </rPr>
      <t>Table_A</t>
    </r>
    <r>
      <rPr>
        <sz val="11"/>
        <color rgb="FF000000"/>
        <rFont val="Calibri"/>
        <family val="2"/>
        <scheme val="minor"/>
      </rPr>
      <t xml:space="preserve">. If any cell contains an error  </t>
    </r>
    <r>
      <rPr>
        <b/>
        <sz val="11"/>
        <color rgb="FF000000"/>
        <rFont val="Calibri"/>
        <family val="2"/>
        <scheme val="minor"/>
      </rPr>
      <t>#N/A,</t>
    </r>
    <r>
      <rPr>
        <sz val="11"/>
        <color rgb="FF000000"/>
        <rFont val="Calibri"/>
        <family val="2"/>
        <scheme val="minor"/>
      </rPr>
      <t xml:space="preserve"> it replaces that error with the value </t>
    </r>
    <r>
      <rPr>
        <b/>
        <sz val="11"/>
        <color rgb="FF000000"/>
        <rFont val="Calibri"/>
        <family val="2"/>
        <scheme val="minor"/>
      </rPr>
      <t>20</t>
    </r>
    <r>
      <rPr>
        <sz val="11"/>
        <color rgb="FF000000"/>
        <rFont val="Calibri"/>
        <family val="2"/>
        <scheme val="minor"/>
      </rPr>
      <t xml:space="preserve"> before summing.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</si>
</sst>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7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0" borderId="0" xfId="6" applyFont="1"/>
    <xf numFmtId="164" fontId="3" fillId="0" borderId="0" xfId="6" applyNumberFormat="1" applyFont="1"/>
    <xf numFmtId="0" fontId="7" fillId="0" borderId="0" xfId="6" applyFont="1"/>
    <xf numFmtId="0" fontId="7" fillId="3" borderId="0" xfId="6" applyFont="1" applyFill="1"/>
    <xf numFmtId="0" fontId="7" fillId="2" borderId="0" xfId="6" applyFont="1" applyFill="1"/>
    <xf numFmtId="164" fontId="4" fillId="0" borderId="0" xfId="6" applyNumberFormat="1" applyFont="1"/>
    <xf numFmtId="0" fontId="4" fillId="0" borderId="0" xfId="6" applyFont="1"/>
    <xf numFmtId="49" fontId="4" fillId="0" borderId="0" xfId="6" applyNumberFormat="1" applyFont="1"/>
    <xf numFmtId="49" fontId="3" fillId="0" borderId="0" xfId="6" applyNumberFormat="1" applyFont="1"/>
    <xf numFmtId="166" fontId="7" fillId="0" borderId="0" xfId="6" applyNumberFormat="1" applyFont="1"/>
    <xf numFmtId="166" fontId="3" fillId="0" borderId="0" xfId="6" applyNumberFormat="1" applyFont="1"/>
    <xf numFmtId="0" fontId="7" fillId="0" borderId="10" xfId="0" applyFont="1" applyBorder="1"/>
    <xf numFmtId="0" fontId="7" fillId="0" borderId="5" xfId="0" applyFont="1" applyBorder="1"/>
    <xf numFmtId="0" fontId="7" fillId="2" borderId="8" xfId="0" applyFont="1" applyFill="1" applyBorder="1"/>
    <xf numFmtId="0" fontId="7" fillId="3" borderId="8" xfId="0" applyFont="1" applyFill="1" applyBorder="1"/>
    <xf numFmtId="0" fontId="7" fillId="2" borderId="5" xfId="0" applyFont="1" applyFill="1" applyBorder="1"/>
    <xf numFmtId="0" fontId="7" fillId="0" borderId="11" xfId="0" applyFont="1" applyBorder="1"/>
    <xf numFmtId="0" fontId="3" fillId="5" borderId="12" xfId="0" applyFont="1" applyFill="1" applyBorder="1"/>
    <xf numFmtId="165" fontId="3" fillId="0" borderId="10" xfId="0" applyNumberFormat="1" applyFont="1" applyBorder="1"/>
    <xf numFmtId="165" fontId="3" fillId="0" borderId="6" xfId="0" applyNumberFormat="1" applyFont="1" applyBorder="1"/>
    <xf numFmtId="165" fontId="3" fillId="0" borderId="11" xfId="0" applyNumberFormat="1" applyFont="1" applyBorder="1"/>
    <xf numFmtId="0" fontId="3" fillId="0" borderId="12" xfId="0" applyFont="1" applyBorder="1"/>
    <xf numFmtId="0" fontId="9" fillId="0" borderId="10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1" xfId="0" applyFont="1" applyBorder="1"/>
    <xf numFmtId="0" fontId="8" fillId="0" borderId="12" xfId="0" applyFont="1" applyBorder="1"/>
    <xf numFmtId="0" fontId="8" fillId="0" borderId="13" xfId="0" applyFont="1" applyBorder="1"/>
    <xf numFmtId="0" fontId="3" fillId="0" borderId="3" xfId="0" applyFont="1" applyBorder="1"/>
    <xf numFmtId="0" fontId="7" fillId="0" borderId="6" xfId="0" applyFont="1" applyBorder="1"/>
    <xf numFmtId="0" fontId="7" fillId="0" borderId="4" xfId="0" applyFont="1" applyBorder="1"/>
    <xf numFmtId="2" fontId="3" fillId="0" borderId="5" xfId="0" applyNumberFormat="1" applyFont="1" applyBorder="1"/>
    <xf numFmtId="1" fontId="3" fillId="0" borderId="7" xfId="0" applyNumberFormat="1" applyFont="1" applyBorder="1"/>
    <xf numFmtId="1" fontId="3" fillId="0" borderId="8" xfId="0" applyNumberFormat="1" applyFont="1" applyBorder="1"/>
    <xf numFmtId="1" fontId="3" fillId="0" borderId="2" xfId="0" applyNumberFormat="1" applyFont="1" applyBorder="1"/>
    <xf numFmtId="0" fontId="18" fillId="0" borderId="0" xfId="0" applyFont="1"/>
    <xf numFmtId="1" fontId="3" fillId="0" borderId="9" xfId="0" applyNumberFormat="1" applyFont="1" applyBorder="1"/>
    <xf numFmtId="1" fontId="3" fillId="0" borderId="13" xfId="0" applyNumberFormat="1" applyFont="1" applyBorder="1"/>
    <xf numFmtId="1" fontId="8" fillId="0" borderId="1" xfId="0" quotePrefix="1" applyNumberFormat="1" applyFont="1" applyBorder="1"/>
    <xf numFmtId="0" fontId="7" fillId="0" borderId="0" xfId="6" applyFont="1" applyAlignment="1">
      <alignment horizontal="center"/>
    </xf>
    <xf numFmtId="0" fontId="3" fillId="0" borderId="0" xfId="6" applyFont="1" applyAlignment="1">
      <alignment horizontal="center"/>
    </xf>
    <xf numFmtId="0" fontId="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0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outline="0">
        <right style="thin">
          <color indexed="64"/>
        </right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F46F1F79-EEA3-452F-9308-8BAA828BB51D}"/>
    <tableStyle name="MySqlDefault" pivot="0" table="0" count="2" xr9:uid="{00000000-0011-0000-FFFF-FFFF00000000}">
      <tableStyleElement type="wholeTable" dxfId="80"/>
      <tableStyleElement type="headerRow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78473E-8DB0-46BF-B6CF-6D622C2584D0}" name="Table1" displayName="Table1" ref="A1:X40" totalsRowShown="0" headerRowDxfId="74" dataDxfId="73" headerRowCellStyle="Normal 5 2" dataCellStyle="Normal 5 2">
  <autoFilter ref="A1:X40" xr:uid="{8C78473E-8DB0-46BF-B6CF-6D622C2584D0}"/>
  <tableColumns count="24">
    <tableColumn id="1" xr3:uid="{76E01D1A-6049-4F9E-BC64-88CB04A0FC85}" name="name" dataDxfId="72" dataCellStyle="Normal 5 2"/>
    <tableColumn id="2" xr3:uid="{78640FF6-249E-4C05-94DD-65743AAC4A87}" name="ID" dataDxfId="71" dataCellStyle="Normal 5 2"/>
    <tableColumn id="3" xr3:uid="{41FC66CA-7920-4C44-832A-8B1379E1503A}" name="start_day" dataDxfId="70" dataCellStyle="Normal 5 2"/>
    <tableColumn id="4" xr3:uid="{80D1B872-A933-4507-8A0C-2203121562A2}" name="start_time" dataDxfId="69" dataCellStyle="Normal 5 2"/>
    <tableColumn id="5" xr3:uid="{F1C155D2-109C-48D2-A89B-4F30D019986F}" name="end_day" dataDxfId="68" dataCellStyle="Normal 5 2"/>
    <tableColumn id="6" xr3:uid="{D556CD94-8F82-4B2F-ACF9-2AA53A664DBE}" name="end_time" dataDxfId="67" dataCellStyle="Normal 5 2"/>
    <tableColumn id="7" xr3:uid="{D769762B-70F1-4A5D-9C2F-2A9F0AB217BB}" name="car1" dataDxfId="66" dataCellStyle="Normal 5 2"/>
    <tableColumn id="8" xr3:uid="{73374029-EADF-4582-9439-A561CE3E10FF}" name="car2" dataDxfId="65" dataCellStyle="Normal 5 2"/>
    <tableColumn id="9" xr3:uid="{4D10E172-D597-479B-A242-4AA2F0FDEE61}" name="car3" dataDxfId="64" dataCellStyle="Normal 5 2"/>
    <tableColumn id="10" xr3:uid="{EBAF34EE-B59B-41D0-8A89-A7BCE0B20D29}" name="moto1" dataDxfId="63" dataCellStyle="Normal 5 2"/>
    <tableColumn id="11" xr3:uid="{3B989B7A-9314-4B4F-ABA1-7589C89CCB8B}" name="moto2" dataDxfId="62" dataCellStyle="Normal 5 2"/>
    <tableColumn id="12" xr3:uid="{44FAB02B-FA8C-4B7C-9DA4-8EAE757E13ED}" name="moto3" dataDxfId="61" dataCellStyle="Normal 5 2"/>
    <tableColumn id="13" xr3:uid="{E1D9851B-2046-432D-82C0-91DB7126C9AF}" name="bus1" dataDxfId="60" dataCellStyle="Normal 5 2"/>
    <tableColumn id="14" xr3:uid="{A4A4C312-B385-45F8-A896-FA2FC5F9AC05}" name="bus2" dataDxfId="59" dataCellStyle="Normal 5 2"/>
    <tableColumn id="15" xr3:uid="{619FFAE0-8E68-4F5D-928B-BE136E10438F}" name="bus3" dataDxfId="58" dataCellStyle="Normal 5 2"/>
    <tableColumn id="16" xr3:uid="{FDF0D723-C6F9-437E-9D85-44B6A764C8D7}" name="rv1" dataDxfId="57" dataCellStyle="Normal 5 2"/>
    <tableColumn id="17" xr3:uid="{3983D5F6-DDC3-408B-A335-016A55438EDF}" name="rv2" dataDxfId="56" dataCellStyle="Normal 5 2"/>
    <tableColumn id="18" xr3:uid="{E7742AFB-F276-44BF-9F2C-E12B37404B40}" name="rv3" dataDxfId="55" dataCellStyle="Normal 5 2"/>
    <tableColumn id="19" xr3:uid="{7C5D7B89-171F-460D-9DCB-B8F0B2B0C22F}" name="truck1" dataDxfId="54" dataCellStyle="Normal 5 2"/>
    <tableColumn id="20" xr3:uid="{D48C6F63-46B5-4680-9558-BAF3F3EEF2F4}" name="truck2" dataDxfId="53" dataCellStyle="Normal 5 2"/>
    <tableColumn id="21" xr3:uid="{92A97BA9-8373-4EF8-ADA9-6513D872E530}" name="taxi1" dataDxfId="52" dataCellStyle="Normal 5 2"/>
    <tableColumn id="22" xr3:uid="{C54B4DC0-E8BC-4BE7-AE9C-F0D6C223A692}" name="taxi2" dataDxfId="51" dataCellStyle="Normal 5 2"/>
    <tableColumn id="23" xr3:uid="{25089931-6007-4473-97BB-267FF88FCB25}" name="taxi3" dataDxfId="50" dataCellStyle="Normal 5 2"/>
    <tableColumn id="24" xr3:uid="{AD837AED-8F11-48F6-BDAE-3DFF9859A8CF}" name="date" dataDxfId="49" dataCellStyle="Normal 5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98BBFD-AE3E-4279-B364-16296F5C94B9}" name="Table2" displayName="Table2" ref="A5:F30" totalsRowShown="0" dataDxfId="47" headerRowBorderDxfId="48" tableBorderDxfId="46">
  <autoFilter ref="A5:F30" xr:uid="{1598BBFD-AE3E-4279-B364-16296F5C94B9}"/>
  <tableColumns count="6">
    <tableColumn id="1" xr3:uid="{D11BBBDC-B577-48A3-9208-FF2EDC366AF7}" name="name" dataDxfId="45"/>
    <tableColumn id="2" xr3:uid="{ABD8D5AA-3EF7-4177-AB8A-8B4E13E08675}" name="car1" dataDxfId="44">
      <calculatedColumnFormula>VLOOKUP($A$6:$A$27, Table1[#All], 7, FALSE)</calculatedColumnFormula>
    </tableColumn>
    <tableColumn id="3" xr3:uid="{08EACDF6-D331-47E4-B7B9-FF42B2A00DBB}" name="bus2" dataDxfId="43">
      <calculatedColumnFormula>VLOOKUP($A$6:$A$27, Table1[#All], 14, FALSE)</calculatedColumnFormula>
    </tableColumn>
    <tableColumn id="4" xr3:uid="{81E94570-526D-450C-848F-3A6EB1553E14}" name="rv3" dataDxfId="42">
      <calculatedColumnFormula>VLOOKUP($A$6:$A$27, Table1[#All], 18, FALSE)</calculatedColumnFormula>
    </tableColumn>
    <tableColumn id="5" xr3:uid="{31296483-AB34-48D9-9408-AD7E311B8E52}" name="truck2" dataDxfId="41">
      <calculatedColumnFormula>VLOOKUP($A$6:$A$27, Table1[#All], 20, FALSE)</calculatedColumnFormula>
    </tableColumn>
    <tableColumn id="6" xr3:uid="{31B05402-1773-484A-B713-FAD80944C204}" name="taxi2" dataDxfId="40">
      <calculatedColumnFormula>VLOOKUP($A$6:$A$27, Table1[#All], 22, 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40162-3684-4953-B0F6-E1FC750993A0}" name="Table3" displayName="Table3" ref="A15:F54" totalsRowShown="0" headerRowDxfId="39" headerRowBorderDxfId="38" tableBorderDxfId="37">
  <autoFilter ref="A15:F54" xr:uid="{E8540162-3684-4953-B0F6-E1FC750993A0}"/>
  <tableColumns count="6">
    <tableColumn id="1" xr3:uid="{7D765B96-B8A5-477B-BAC2-28DA55E50A35}" name="values" dataDxfId="36"/>
    <tableColumn id="2" xr3:uid="{68B3C2A7-9C47-4E79-8BAB-2206B89BBCD9}" name="col_1" dataDxfId="35">
      <calculatedColumnFormula>INT(LEFT(Table3[[#This Row],[values]], FIND("-", Table3[[#This Row],[values]])-1))</calculatedColumnFormula>
    </tableColumn>
    <tableColumn id="3" xr3:uid="{BCCD22AC-4452-43C8-B4BB-F45C0E19758F}" name="col_3" dataDxfId="34">
      <calculatedColumnFormula>MID(Table3[[#This Row],[values]], FIND("-", Table3[[#This Row],[values]]) + 1, FIND("-", Table3[[#This Row],[values]], FIND("-", Table3[[#This Row],[values]]) + 1) - FIND("-", Table3[[#This Row],[values]]) - 1)</calculatedColumnFormula>
    </tableColumn>
    <tableColumn id="4" xr3:uid="{4E056703-4BB3-4C43-99A9-438F36B6CAF4}" name="col_4" dataDxfId="33">
      <calculatedColumnFormula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calculatedColumnFormula>
    </tableColumn>
    <tableColumn id="5" xr3:uid="{E56916C2-C6A7-4309-94FF-6673185646D4}" name="col_5" dataDxfId="32">
      <calculatedColumnFormula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calculatedColumnFormula>
    </tableColumn>
    <tableColumn id="6" xr3:uid="{7E50313B-1500-419F-8311-0837D296AA00}" name="col_6" dataDxfId="31">
      <calculatedColumnFormula>INT(RIGHT(Table3[[#This Row],[values]], LEN(Table3[[#This Row],[values]]) - FIND("#", SUBSTITUTE(Table3[[#This Row],[values]], "-", "#", 4))))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8DAB2E0-9E6F-4FC3-BDEA-EF70EC26CC8D}" name="Table10" displayName="Table10" ref="A11:C21" totalsRowShown="0" headerRowBorderDxfId="30" tableBorderDxfId="29" totalsRowBorderDxfId="28">
  <autoFilter ref="A11:C21" xr:uid="{28DAB2E0-9E6F-4FC3-BDEA-EF70EC26CC8D}"/>
  <tableColumns count="3">
    <tableColumn id="1" xr3:uid="{2213B06C-79AC-4C3B-9A71-0193FA2D2DD7}" name="Date" dataDxfId="27"/>
    <tableColumn id="2" xr3:uid="{53A859DC-8FA3-4428-9272-7DD22CA1DA30}" name="Product" dataDxfId="26"/>
    <tableColumn id="3" xr3:uid="{315FDA05-211B-4073-87A4-72D1242367C6}" name="Sales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38484E-3CD9-43C6-8A6F-CA32D3FB1DF8}" name="Table5" displayName="Table5" ref="A9:J18" totalsRowShown="0" headerRowDxfId="24" dataDxfId="22" headerRowBorderDxfId="23" tableBorderDxfId="21" totalsRowBorderDxfId="20">
  <autoFilter ref="A9:J18" xr:uid="{A638484E-3CD9-43C6-8A6F-CA32D3FB1DF8}"/>
  <tableColumns count="10">
    <tableColumn id="1" xr3:uid="{BB61FEBB-32A6-4A2A-9CD2-B82672C2C014}" name="Column1" dataDxfId="19"/>
    <tableColumn id="2" xr3:uid="{630B67F4-7F70-4484-90A6-34BBBEB4288A}" name="A" dataDxfId="18"/>
    <tableColumn id="3" xr3:uid="{0398BFF9-57CE-4DC0-B48F-72042DC89172}" name="B" dataDxfId="17"/>
    <tableColumn id="4" xr3:uid="{1A049BBF-1520-4D70-B606-25A7335AF58E}" name="C" dataDxfId="16"/>
    <tableColumn id="5" xr3:uid="{470E6CB1-0930-4939-848D-2B5859B40B0D}" name="D" dataDxfId="15"/>
    <tableColumn id="6" xr3:uid="{D5F9AD42-8003-4108-9659-D32180B1872B}" name="E" dataDxfId="14"/>
    <tableColumn id="7" xr3:uid="{E5630B11-96BE-47ED-96C7-959EEFC8E7AC}" name="F" dataDxfId="13"/>
    <tableColumn id="8" xr3:uid="{C301CCF8-E6AB-4C30-AD9E-8CD96E50F59A}" name="G" dataDxfId="12"/>
    <tableColumn id="9" xr3:uid="{09185025-7CD7-423B-86CC-D703B06ED265}" name="H" dataDxfId="11"/>
    <tableColumn id="10" xr3:uid="{8D01893B-FB90-4815-8BEA-F7DBF6BCB4B9}" name="I" dataDxfId="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E79DDD-A46D-4E4F-94A9-6BE23F95C1F9}" name="Table6" displayName="Table6" ref="M9:N18" totalsRowShown="0" headerRowDxfId="9" headerRowBorderDxfId="8" tableBorderDxfId="7">
  <autoFilter ref="M9:N18" xr:uid="{9DE79DDD-A46D-4E4F-94A9-6BE23F95C1F9}"/>
  <tableColumns count="2">
    <tableColumn id="1" xr3:uid="{EBE524EF-929D-4E39-A246-8168ABE7E957}" name="ID" dataDxfId="6"/>
    <tableColumn id="2" xr3:uid="{E26B7698-A3B7-4562-8F6F-F1482AD05595}" name="Name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9156A8-7D65-430F-9AE2-7E49FDD7A47A}" name="Table7" displayName="Table7" ref="A22:C35" totalsRowShown="0" headerRowBorderDxfId="4" tableBorderDxfId="3">
  <autoFilter ref="A22:C35" xr:uid="{D39156A8-7D65-430F-9AE2-7E49FDD7A47A}"/>
  <tableColumns count="3">
    <tableColumn id="1" xr3:uid="{00DBE46E-B691-40F8-80C7-4BE4C4B46F93}" name="name_1" dataDxfId="2"/>
    <tableColumn id="2" xr3:uid="{FEFB5282-371B-4B22-B22D-88CDE519C2A6}" name="name_2" dataDxfId="1"/>
    <tableColumn id="5" xr3:uid="{87B42E06-584F-4DFA-ABD1-99B49D8CD0BA}" name="value" dataDxfId="0">
      <calculatedColumnFormula>INDEX(Table5[[A]:[I]],
    MATCH(VLOOKUP(Table7[name_1], Table6[], 2, FALSE), Table5[Column1], 0),
    MATCH(VLOOKUP(Table7[name_2], Table6[], 2, FALSE), Table5[[#Headers],[A]:[I]], 0)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5" sqref="A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24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21" t="s">
        <v>170</v>
      </c>
      <c r="B9" s="16" t="s">
        <v>168</v>
      </c>
    </row>
    <row r="10" spans="1:3" x14ac:dyDescent="0.3">
      <c r="A10" s="20" t="s">
        <v>171</v>
      </c>
      <c r="B10" s="22">
        <v>25</v>
      </c>
    </row>
    <row r="11" spans="1:3" x14ac:dyDescent="0.3">
      <c r="A11" s="20" t="s">
        <v>55</v>
      </c>
      <c r="B11" s="22">
        <v>30</v>
      </c>
    </row>
    <row r="12" spans="1:3" x14ac:dyDescent="0.3">
      <c r="A12" s="20" t="s">
        <v>56</v>
      </c>
      <c r="B12" s="22">
        <v>10</v>
      </c>
    </row>
    <row r="13" spans="1:3" x14ac:dyDescent="0.3">
      <c r="A13" s="20" t="s">
        <v>85</v>
      </c>
      <c r="B13" s="22">
        <v>20</v>
      </c>
    </row>
    <row r="14" spans="1:3" x14ac:dyDescent="0.3">
      <c r="A14" s="20" t="s">
        <v>98</v>
      </c>
      <c r="B14" s="22">
        <v>40</v>
      </c>
    </row>
    <row r="15" spans="1:3" x14ac:dyDescent="0.3">
      <c r="A15" s="23" t="s">
        <v>169</v>
      </c>
      <c r="B15" s="1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3653F-8E42-4150-BECE-198B43ADF245}">
  <dimension ref="A1:X42"/>
  <sheetViews>
    <sheetView zoomScaleNormal="100" workbookViewId="0">
      <pane ySplit="1" topLeftCell="A2" activePane="bottomLeft" state="frozen"/>
      <selection activeCell="P1" sqref="P1"/>
      <selection pane="bottomLeft" activeCell="F53" sqref="F53"/>
    </sheetView>
  </sheetViews>
  <sheetFormatPr defaultColWidth="9" defaultRowHeight="14.4" x14ac:dyDescent="0.3"/>
  <cols>
    <col min="1" max="1" width="25.44140625" style="29" bestFit="1" customWidth="1"/>
    <col min="2" max="2" width="7.44140625" style="29" bestFit="1" customWidth="1"/>
    <col min="3" max="3" width="10.77734375" style="29" customWidth="1"/>
    <col min="4" max="4" width="11.44140625" style="30" customWidth="1"/>
    <col min="5" max="5" width="10.21875" style="29" customWidth="1"/>
    <col min="6" max="6" width="10.88671875" style="30" customWidth="1"/>
    <col min="7" max="9" width="12.77734375" style="29" bestFit="1" customWidth="1"/>
    <col min="10" max="12" width="13" style="29" bestFit="1" customWidth="1"/>
    <col min="13" max="15" width="14.21875" style="29" bestFit="1" customWidth="1"/>
    <col min="16" max="18" width="14.44140625" style="29" bestFit="1" customWidth="1"/>
    <col min="19" max="20" width="18.77734375" style="29" bestFit="1" customWidth="1"/>
    <col min="21" max="23" width="19" style="29" bestFit="1" customWidth="1"/>
    <col min="24" max="24" width="16.77734375" style="29" bestFit="1" customWidth="1"/>
    <col min="25" max="16384" width="9" style="29"/>
  </cols>
  <sheetData>
    <row r="1" spans="1:24" s="31" customFormat="1" ht="14.7" customHeight="1" x14ac:dyDescent="0.3">
      <c r="A1" s="36" t="s">
        <v>64</v>
      </c>
      <c r="B1" s="36" t="s">
        <v>43</v>
      </c>
      <c r="C1" s="35" t="s">
        <v>0</v>
      </c>
      <c r="D1" s="34" t="s">
        <v>1</v>
      </c>
      <c r="E1" s="36" t="s">
        <v>2</v>
      </c>
      <c r="F1" s="34" t="s">
        <v>3</v>
      </c>
      <c r="G1" s="33" t="s">
        <v>79</v>
      </c>
      <c r="H1" s="33" t="s">
        <v>65</v>
      </c>
      <c r="I1" s="33" t="s">
        <v>66</v>
      </c>
      <c r="J1" s="32" t="s">
        <v>67</v>
      </c>
      <c r="K1" s="32" t="s">
        <v>68</v>
      </c>
      <c r="L1" s="32" t="s">
        <v>69</v>
      </c>
      <c r="M1" s="33" t="s">
        <v>70</v>
      </c>
      <c r="N1" s="33" t="s">
        <v>71</v>
      </c>
      <c r="O1" s="33" t="s">
        <v>72</v>
      </c>
      <c r="P1" s="32" t="s">
        <v>73</v>
      </c>
      <c r="Q1" s="32" t="s">
        <v>74</v>
      </c>
      <c r="R1" s="32" t="s">
        <v>75</v>
      </c>
      <c r="S1" s="33" t="s">
        <v>80</v>
      </c>
      <c r="T1" s="33" t="s">
        <v>76</v>
      </c>
      <c r="U1" s="32" t="s">
        <v>81</v>
      </c>
      <c r="V1" s="32" t="s">
        <v>77</v>
      </c>
      <c r="W1" s="32" t="s">
        <v>78</v>
      </c>
      <c r="X1" s="38" t="s">
        <v>105</v>
      </c>
    </row>
    <row r="2" spans="1:24" x14ac:dyDescent="0.3">
      <c r="A2" s="37" t="s">
        <v>40</v>
      </c>
      <c r="B2" s="37">
        <v>20000</v>
      </c>
      <c r="C2" s="37" t="s">
        <v>5</v>
      </c>
      <c r="D2" s="30">
        <v>0</v>
      </c>
      <c r="E2" s="37" t="s">
        <v>6</v>
      </c>
      <c r="F2" s="30">
        <v>0.99998842592592596</v>
      </c>
      <c r="G2" s="29">
        <v>2.7</v>
      </c>
      <c r="H2" s="29">
        <v>3.6</v>
      </c>
      <c r="I2" s="29">
        <v>4.2</v>
      </c>
      <c r="J2" s="29">
        <v>-1</v>
      </c>
      <c r="K2" s="29">
        <v>-1</v>
      </c>
      <c r="L2" s="29">
        <v>-1</v>
      </c>
      <c r="M2" s="29">
        <v>5.3</v>
      </c>
      <c r="N2" s="29">
        <v>7.6</v>
      </c>
      <c r="O2" s="29">
        <v>8.9</v>
      </c>
      <c r="P2" s="29">
        <v>2.7</v>
      </c>
      <c r="Q2" s="29">
        <v>3.6</v>
      </c>
      <c r="R2" s="29">
        <v>4.2</v>
      </c>
      <c r="S2" s="29">
        <v>7.6</v>
      </c>
      <c r="T2" s="29">
        <v>8.9</v>
      </c>
      <c r="U2" s="29">
        <v>3.6</v>
      </c>
      <c r="V2" s="29">
        <v>4.2</v>
      </c>
      <c r="W2" s="29">
        <v>4.2</v>
      </c>
      <c r="X2" s="39">
        <v>45051</v>
      </c>
    </row>
    <row r="3" spans="1:24" x14ac:dyDescent="0.3">
      <c r="A3" s="37" t="s">
        <v>4</v>
      </c>
      <c r="B3" s="37">
        <v>20002</v>
      </c>
      <c r="C3" s="37" t="s">
        <v>5</v>
      </c>
      <c r="D3" s="30">
        <v>0</v>
      </c>
      <c r="E3" s="37" t="s">
        <v>6</v>
      </c>
      <c r="F3" s="30">
        <v>0.99998842592592596</v>
      </c>
      <c r="G3" s="29">
        <v>2.7</v>
      </c>
      <c r="H3" s="29">
        <v>3.6</v>
      </c>
      <c r="I3" s="29">
        <v>4.2</v>
      </c>
      <c r="J3" s="29">
        <v>-1</v>
      </c>
      <c r="K3" s="29">
        <v>-1</v>
      </c>
      <c r="L3" s="29">
        <v>-1</v>
      </c>
      <c r="M3" s="29">
        <v>5.3</v>
      </c>
      <c r="N3" s="29">
        <v>7.6</v>
      </c>
      <c r="O3" s="29">
        <v>8.9</v>
      </c>
      <c r="P3" s="29">
        <v>2.7</v>
      </c>
      <c r="Q3" s="29">
        <v>3.6</v>
      </c>
      <c r="R3" s="29">
        <v>4.2</v>
      </c>
      <c r="S3" s="29">
        <v>7.6</v>
      </c>
      <c r="T3" s="29">
        <v>8.9</v>
      </c>
      <c r="U3" s="29">
        <v>3.6</v>
      </c>
      <c r="V3" s="29">
        <v>4.2</v>
      </c>
      <c r="W3" s="29">
        <v>4.2</v>
      </c>
      <c r="X3" s="39">
        <v>45048</v>
      </c>
    </row>
    <row r="4" spans="1:24" x14ac:dyDescent="0.3">
      <c r="A4" s="37" t="s">
        <v>7</v>
      </c>
      <c r="B4" s="37">
        <v>20004</v>
      </c>
      <c r="C4" s="37" t="s">
        <v>5</v>
      </c>
      <c r="D4" s="30">
        <v>0</v>
      </c>
      <c r="E4" s="37" t="s">
        <v>6</v>
      </c>
      <c r="F4" s="30">
        <v>0.99998842592592596</v>
      </c>
      <c r="G4" s="29">
        <v>3.6</v>
      </c>
      <c r="H4" s="29">
        <v>5.4</v>
      </c>
      <c r="I4" s="29">
        <v>5.8</v>
      </c>
      <c r="J4" s="29">
        <v>-1</v>
      </c>
      <c r="K4" s="29">
        <v>-1</v>
      </c>
      <c r="L4" s="29">
        <v>-1</v>
      </c>
      <c r="M4" s="29">
        <v>7.6</v>
      </c>
      <c r="N4" s="29">
        <v>11.1</v>
      </c>
      <c r="O4" s="29">
        <v>12.2</v>
      </c>
      <c r="P4" s="29">
        <v>3.6</v>
      </c>
      <c r="Q4" s="29">
        <v>5.4</v>
      </c>
      <c r="R4" s="29">
        <v>5.8</v>
      </c>
      <c r="S4" s="29">
        <v>11.1</v>
      </c>
      <c r="T4" s="29">
        <v>12.2</v>
      </c>
      <c r="U4" s="29">
        <v>5.4</v>
      </c>
      <c r="V4" s="29">
        <v>5.8</v>
      </c>
      <c r="W4" s="29">
        <v>5.8</v>
      </c>
      <c r="X4" s="39">
        <v>45055</v>
      </c>
    </row>
    <row r="5" spans="1:24" x14ac:dyDescent="0.3">
      <c r="A5" s="37" t="s">
        <v>8</v>
      </c>
      <c r="B5" s="37">
        <v>20006</v>
      </c>
      <c r="C5" s="37" t="s">
        <v>5</v>
      </c>
      <c r="D5" s="30">
        <v>0</v>
      </c>
      <c r="E5" s="37" t="s">
        <v>6</v>
      </c>
      <c r="F5" s="30">
        <v>0.99998842592592596</v>
      </c>
      <c r="G5" s="29">
        <v>4.9000000000000004</v>
      </c>
      <c r="H5" s="29">
        <v>6.6</v>
      </c>
      <c r="I5" s="29">
        <v>8.1</v>
      </c>
      <c r="J5" s="29">
        <v>-1</v>
      </c>
      <c r="K5" s="29">
        <v>-1</v>
      </c>
      <c r="L5" s="29">
        <v>-1</v>
      </c>
      <c r="M5" s="29">
        <v>10</v>
      </c>
      <c r="N5" s="29">
        <v>13.3</v>
      </c>
      <c r="O5" s="29">
        <v>17</v>
      </c>
      <c r="P5" s="29">
        <v>4.9000000000000004</v>
      </c>
      <c r="Q5" s="29">
        <v>6.6</v>
      </c>
      <c r="R5" s="29">
        <v>8.1</v>
      </c>
      <c r="S5" s="29">
        <v>13.3</v>
      </c>
      <c r="T5" s="29">
        <v>17</v>
      </c>
      <c r="U5" s="29">
        <v>6.6</v>
      </c>
      <c r="V5" s="29">
        <v>8.1</v>
      </c>
      <c r="W5" s="29">
        <v>8.1</v>
      </c>
      <c r="X5" s="39">
        <v>45059</v>
      </c>
    </row>
    <row r="6" spans="1:24" x14ac:dyDescent="0.3">
      <c r="A6" s="37" t="s">
        <v>9</v>
      </c>
      <c r="B6" s="37">
        <v>20008</v>
      </c>
      <c r="C6" s="37" t="s">
        <v>5</v>
      </c>
      <c r="D6" s="30">
        <v>0</v>
      </c>
      <c r="E6" s="37" t="s">
        <v>6</v>
      </c>
      <c r="F6" s="30">
        <v>0.99998842592592596</v>
      </c>
      <c r="G6" s="29">
        <v>6.6</v>
      </c>
      <c r="H6" s="29">
        <v>8.8000000000000007</v>
      </c>
      <c r="I6" s="29">
        <v>11</v>
      </c>
      <c r="J6" s="29">
        <v>-1</v>
      </c>
      <c r="K6" s="29">
        <v>-1</v>
      </c>
      <c r="L6" s="29">
        <v>-1</v>
      </c>
      <c r="M6" s="29">
        <v>13.3</v>
      </c>
      <c r="N6" s="29">
        <v>18</v>
      </c>
      <c r="O6" s="29">
        <v>22.5</v>
      </c>
      <c r="P6" s="29">
        <v>6.6</v>
      </c>
      <c r="Q6" s="29">
        <v>8.8000000000000007</v>
      </c>
      <c r="R6" s="29">
        <v>11</v>
      </c>
      <c r="S6" s="29">
        <v>18</v>
      </c>
      <c r="T6" s="29">
        <v>22.5</v>
      </c>
      <c r="U6" s="29">
        <v>8.8000000000000007</v>
      </c>
      <c r="V6" s="29">
        <v>11</v>
      </c>
      <c r="W6" s="29">
        <v>11</v>
      </c>
      <c r="X6" s="39">
        <v>45076</v>
      </c>
    </row>
    <row r="7" spans="1:24" x14ac:dyDescent="0.3">
      <c r="A7" s="37" t="s">
        <v>10</v>
      </c>
      <c r="B7" s="37">
        <v>20010</v>
      </c>
      <c r="C7" s="37" t="s">
        <v>5</v>
      </c>
      <c r="D7" s="30">
        <v>0</v>
      </c>
      <c r="E7" s="37" t="s">
        <v>6</v>
      </c>
      <c r="F7" s="30">
        <v>0.99998842592592596</v>
      </c>
      <c r="G7" s="29">
        <v>7.1</v>
      </c>
      <c r="H7" s="29">
        <v>10.4</v>
      </c>
      <c r="I7" s="29">
        <v>12.8</v>
      </c>
      <c r="J7" s="29">
        <v>-1</v>
      </c>
      <c r="K7" s="29">
        <v>-1</v>
      </c>
      <c r="L7" s="29">
        <v>-1</v>
      </c>
      <c r="M7" s="29">
        <v>14.4</v>
      </c>
      <c r="N7" s="29">
        <v>21.5</v>
      </c>
      <c r="O7" s="29">
        <v>26.1</v>
      </c>
      <c r="P7" s="29">
        <v>7.1</v>
      </c>
      <c r="Q7" s="29">
        <v>10.4</v>
      </c>
      <c r="R7" s="29">
        <v>12.8</v>
      </c>
      <c r="S7" s="29">
        <v>21.5</v>
      </c>
      <c r="T7" s="29">
        <v>26.1</v>
      </c>
      <c r="U7" s="29">
        <v>10.4</v>
      </c>
      <c r="V7" s="29">
        <v>12.8</v>
      </c>
      <c r="W7" s="29">
        <v>12.8</v>
      </c>
      <c r="X7" s="39">
        <v>45057</v>
      </c>
    </row>
    <row r="8" spans="1:24" x14ac:dyDescent="0.3">
      <c r="A8" s="37" t="s">
        <v>11</v>
      </c>
      <c r="B8" s="37">
        <v>20012</v>
      </c>
      <c r="C8" s="37" t="s">
        <v>5</v>
      </c>
      <c r="D8" s="30">
        <v>0</v>
      </c>
      <c r="E8" s="37" t="s">
        <v>6</v>
      </c>
      <c r="F8" s="30">
        <v>0.99998842592592596</v>
      </c>
      <c r="G8" s="29">
        <v>9.4</v>
      </c>
      <c r="H8" s="29">
        <v>13.8</v>
      </c>
      <c r="I8" s="29">
        <v>16.100000000000001</v>
      </c>
      <c r="J8" s="29">
        <v>-1</v>
      </c>
      <c r="K8" s="29">
        <v>-1</v>
      </c>
      <c r="L8" s="29">
        <v>-1</v>
      </c>
      <c r="M8" s="29">
        <v>19.2</v>
      </c>
      <c r="N8" s="29">
        <v>28.3</v>
      </c>
      <c r="O8" s="29">
        <v>32.799999999999997</v>
      </c>
      <c r="P8" s="29">
        <v>9.4</v>
      </c>
      <c r="Q8" s="29">
        <v>13.8</v>
      </c>
      <c r="R8" s="29">
        <v>16.100000000000001</v>
      </c>
      <c r="S8" s="29">
        <v>28.3</v>
      </c>
      <c r="T8" s="29">
        <v>32.799999999999997</v>
      </c>
      <c r="U8" s="29">
        <v>13.8</v>
      </c>
      <c r="V8" s="29">
        <v>16.100000000000001</v>
      </c>
      <c r="W8" s="29">
        <v>16.100000000000001</v>
      </c>
      <c r="X8" s="39">
        <v>45052</v>
      </c>
    </row>
    <row r="9" spans="1:24" x14ac:dyDescent="0.3">
      <c r="A9" s="37" t="s">
        <v>12</v>
      </c>
      <c r="B9" s="37">
        <v>20014</v>
      </c>
      <c r="C9" s="37" t="s">
        <v>5</v>
      </c>
      <c r="D9" s="30">
        <v>0</v>
      </c>
      <c r="E9" s="37" t="s">
        <v>6</v>
      </c>
      <c r="F9" s="30">
        <v>0.99998842592592596</v>
      </c>
      <c r="G9" s="29">
        <v>11.6</v>
      </c>
      <c r="H9" s="29">
        <v>17.3</v>
      </c>
      <c r="I9" s="29">
        <v>21.3</v>
      </c>
      <c r="J9" s="29">
        <v>-1</v>
      </c>
      <c r="K9" s="29">
        <v>-1</v>
      </c>
      <c r="L9" s="29">
        <v>-1</v>
      </c>
      <c r="M9" s="29">
        <v>23.6</v>
      </c>
      <c r="N9" s="29">
        <v>35.200000000000003</v>
      </c>
      <c r="O9" s="29">
        <v>43</v>
      </c>
      <c r="P9" s="29">
        <v>11.6</v>
      </c>
      <c r="Q9" s="29">
        <v>17.3</v>
      </c>
      <c r="R9" s="29">
        <v>21.3</v>
      </c>
      <c r="S9" s="29">
        <v>35.200000000000003</v>
      </c>
      <c r="T9" s="29">
        <v>43</v>
      </c>
      <c r="U9" s="29">
        <v>17.3</v>
      </c>
      <c r="V9" s="29">
        <v>21.3</v>
      </c>
      <c r="W9" s="29">
        <v>21.3</v>
      </c>
      <c r="X9" s="39">
        <v>45098</v>
      </c>
    </row>
    <row r="10" spans="1:24" x14ac:dyDescent="0.3">
      <c r="A10" s="37" t="s">
        <v>13</v>
      </c>
      <c r="B10" s="37">
        <v>20016</v>
      </c>
      <c r="C10" s="37" t="s">
        <v>5</v>
      </c>
      <c r="D10" s="30">
        <v>0</v>
      </c>
      <c r="E10" s="37" t="s">
        <v>6</v>
      </c>
      <c r="F10" s="30">
        <v>0.99998842592592596</v>
      </c>
      <c r="G10" s="29">
        <v>16.100000000000001</v>
      </c>
      <c r="H10" s="29">
        <v>24.1</v>
      </c>
      <c r="I10" s="29">
        <v>29.1</v>
      </c>
      <c r="J10" s="29">
        <v>-1</v>
      </c>
      <c r="K10" s="29">
        <v>-1</v>
      </c>
      <c r="L10" s="29">
        <v>-1</v>
      </c>
      <c r="M10" s="29">
        <v>32.799999999999997</v>
      </c>
      <c r="N10" s="29">
        <v>49</v>
      </c>
      <c r="O10" s="29">
        <v>59</v>
      </c>
      <c r="P10" s="29">
        <v>16.100000000000001</v>
      </c>
      <c r="Q10" s="29">
        <v>24.1</v>
      </c>
      <c r="R10" s="29">
        <v>29.1</v>
      </c>
      <c r="S10" s="29">
        <v>49</v>
      </c>
      <c r="T10" s="29">
        <v>59</v>
      </c>
      <c r="U10" s="29">
        <v>24.1</v>
      </c>
      <c r="V10" s="29">
        <v>29.1</v>
      </c>
      <c r="W10" s="29">
        <v>29.1</v>
      </c>
      <c r="X10" s="39">
        <v>45092</v>
      </c>
    </row>
    <row r="11" spans="1:24" x14ac:dyDescent="0.3">
      <c r="A11" s="37" t="s">
        <v>14</v>
      </c>
      <c r="B11" s="37">
        <v>20018</v>
      </c>
      <c r="C11" s="37" t="s">
        <v>5</v>
      </c>
      <c r="D11" s="30">
        <v>0</v>
      </c>
      <c r="E11" s="37" t="s">
        <v>6</v>
      </c>
      <c r="F11" s="30">
        <v>0.99998842592592596</v>
      </c>
      <c r="G11" s="29">
        <v>18.399999999999999</v>
      </c>
      <c r="H11" s="29">
        <v>27.5</v>
      </c>
      <c r="I11" s="29">
        <v>33.799999999999997</v>
      </c>
      <c r="J11" s="29">
        <v>-1</v>
      </c>
      <c r="K11" s="29">
        <v>-1</v>
      </c>
      <c r="L11" s="29">
        <v>-1</v>
      </c>
      <c r="M11" s="29">
        <v>37.200000000000003</v>
      </c>
      <c r="N11" s="29">
        <v>55.6</v>
      </c>
      <c r="O11" s="29">
        <v>67.900000000000006</v>
      </c>
      <c r="P11" s="29">
        <v>18.399999999999999</v>
      </c>
      <c r="Q11" s="29">
        <v>27.5</v>
      </c>
      <c r="R11" s="29">
        <v>33.799999999999997</v>
      </c>
      <c r="S11" s="29">
        <v>55.6</v>
      </c>
      <c r="T11" s="29">
        <v>67.900000000000006</v>
      </c>
      <c r="U11" s="29">
        <v>27.5</v>
      </c>
      <c r="V11" s="29">
        <v>33.799999999999997</v>
      </c>
      <c r="W11" s="29">
        <v>33.799999999999997</v>
      </c>
      <c r="X11" s="39">
        <v>45104</v>
      </c>
    </row>
    <row r="12" spans="1:24" x14ac:dyDescent="0.3">
      <c r="A12" s="37" t="s">
        <v>15</v>
      </c>
      <c r="B12" s="37">
        <v>20020</v>
      </c>
      <c r="C12" s="37" t="s">
        <v>5</v>
      </c>
      <c r="D12" s="30">
        <v>0</v>
      </c>
      <c r="E12" s="37" t="s">
        <v>6</v>
      </c>
      <c r="F12" s="30">
        <v>0.99998842592592596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39">
        <v>45116</v>
      </c>
    </row>
    <row r="13" spans="1:24" x14ac:dyDescent="0.3">
      <c r="A13" s="37" t="s">
        <v>16</v>
      </c>
      <c r="B13" s="37">
        <v>20022</v>
      </c>
      <c r="C13" s="37" t="s">
        <v>5</v>
      </c>
      <c r="D13" s="30">
        <v>0</v>
      </c>
      <c r="E13" s="37" t="s">
        <v>6</v>
      </c>
      <c r="F13" s="30">
        <v>0.99998842592592596</v>
      </c>
      <c r="G13" s="29">
        <v>21.9</v>
      </c>
      <c r="H13" s="29">
        <v>32.1</v>
      </c>
      <c r="I13" s="29">
        <v>40.1</v>
      </c>
      <c r="J13" s="29">
        <v>-1</v>
      </c>
      <c r="K13" s="29">
        <v>-1</v>
      </c>
      <c r="L13" s="29">
        <v>-1</v>
      </c>
      <c r="M13" s="29">
        <v>42.3</v>
      </c>
      <c r="N13" s="29">
        <v>61.5</v>
      </c>
      <c r="O13" s="29">
        <v>76.599999999999994</v>
      </c>
      <c r="P13" s="29">
        <v>21.9</v>
      </c>
      <c r="Q13" s="29">
        <v>32.1</v>
      </c>
      <c r="R13" s="29">
        <v>40.1</v>
      </c>
      <c r="S13" s="29">
        <v>61.5</v>
      </c>
      <c r="T13" s="29">
        <v>76.599999999999994</v>
      </c>
      <c r="U13" s="29">
        <v>32.1</v>
      </c>
      <c r="V13" s="29">
        <v>40.1</v>
      </c>
      <c r="W13" s="29">
        <v>40.1</v>
      </c>
      <c r="X13" s="39">
        <v>45110</v>
      </c>
    </row>
    <row r="14" spans="1:24" x14ac:dyDescent="0.3">
      <c r="A14" s="37" t="s">
        <v>17</v>
      </c>
      <c r="B14" s="37">
        <v>20024</v>
      </c>
      <c r="C14" s="37" t="s">
        <v>5</v>
      </c>
      <c r="D14" s="30">
        <v>0</v>
      </c>
      <c r="E14" s="37" t="s">
        <v>6</v>
      </c>
      <c r="F14" s="30">
        <v>0.99998842592592596</v>
      </c>
      <c r="G14" s="29">
        <v>23.5</v>
      </c>
      <c r="H14" s="29">
        <v>34.700000000000003</v>
      </c>
      <c r="I14" s="29">
        <v>42.7</v>
      </c>
      <c r="J14" s="29">
        <v>-1</v>
      </c>
      <c r="K14" s="29">
        <v>-1</v>
      </c>
      <c r="L14" s="29">
        <v>-1</v>
      </c>
      <c r="M14" s="29">
        <v>47.7</v>
      </c>
      <c r="N14" s="29">
        <v>70.8</v>
      </c>
      <c r="O14" s="29">
        <v>86.6</v>
      </c>
      <c r="P14" s="29">
        <v>23.5</v>
      </c>
      <c r="Q14" s="29">
        <v>34.700000000000003</v>
      </c>
      <c r="R14" s="29">
        <v>42.7</v>
      </c>
      <c r="S14" s="29">
        <v>70.8</v>
      </c>
      <c r="T14" s="29">
        <v>86.6</v>
      </c>
      <c r="U14" s="29">
        <v>34.700000000000003</v>
      </c>
      <c r="V14" s="29">
        <v>42.7</v>
      </c>
      <c r="W14" s="29">
        <v>42.7</v>
      </c>
      <c r="X14" s="39">
        <v>45095</v>
      </c>
    </row>
    <row r="15" spans="1:24" x14ac:dyDescent="0.3">
      <c r="A15" s="37" t="s">
        <v>18</v>
      </c>
      <c r="B15" s="37">
        <v>20026</v>
      </c>
      <c r="C15" s="37" t="s">
        <v>5</v>
      </c>
      <c r="D15" s="30">
        <v>0</v>
      </c>
      <c r="E15" s="37" t="s">
        <v>6</v>
      </c>
      <c r="F15" s="30">
        <v>0.99998842592592596</v>
      </c>
      <c r="G15" s="29">
        <v>26.8</v>
      </c>
      <c r="H15" s="29">
        <v>39.299999999999997</v>
      </c>
      <c r="I15" s="29">
        <v>47.9</v>
      </c>
      <c r="J15" s="29">
        <v>-1</v>
      </c>
      <c r="K15" s="29">
        <v>-1</v>
      </c>
      <c r="L15" s="29">
        <v>-1</v>
      </c>
      <c r="M15" s="29">
        <v>54.6</v>
      </c>
      <c r="N15" s="29">
        <v>79.599999999999994</v>
      </c>
      <c r="O15" s="29">
        <v>96.8</v>
      </c>
      <c r="P15" s="29">
        <v>26.8</v>
      </c>
      <c r="Q15" s="29">
        <v>39.299999999999997</v>
      </c>
      <c r="R15" s="29">
        <v>47.9</v>
      </c>
      <c r="S15" s="29">
        <v>79.599999999999994</v>
      </c>
      <c r="T15" s="29">
        <v>96.8</v>
      </c>
      <c r="U15" s="29">
        <v>39.299999999999997</v>
      </c>
      <c r="V15" s="29">
        <v>47.9</v>
      </c>
      <c r="W15" s="29">
        <v>47.9</v>
      </c>
      <c r="X15" s="39">
        <v>45113</v>
      </c>
    </row>
    <row r="16" spans="1:24" x14ac:dyDescent="0.3">
      <c r="A16" s="37" t="s">
        <v>19</v>
      </c>
      <c r="B16" s="37">
        <v>20028</v>
      </c>
      <c r="C16" s="37" t="s">
        <v>5</v>
      </c>
      <c r="D16" s="30">
        <v>0</v>
      </c>
      <c r="E16" s="37" t="s">
        <v>6</v>
      </c>
      <c r="F16" s="30">
        <v>0.99998842592592596</v>
      </c>
      <c r="G16" s="29">
        <v>28</v>
      </c>
      <c r="H16" s="29">
        <v>41</v>
      </c>
      <c r="I16" s="29">
        <v>50.1</v>
      </c>
      <c r="J16" s="29">
        <v>-1</v>
      </c>
      <c r="K16" s="29">
        <v>-1</v>
      </c>
      <c r="L16" s="29">
        <v>-1</v>
      </c>
      <c r="M16" s="29">
        <v>56.7</v>
      </c>
      <c r="N16" s="29">
        <v>83.2</v>
      </c>
      <c r="O16" s="29">
        <v>101.3</v>
      </c>
      <c r="P16" s="29">
        <v>28</v>
      </c>
      <c r="Q16" s="29">
        <v>41</v>
      </c>
      <c r="R16" s="29">
        <v>50.1</v>
      </c>
      <c r="S16" s="29">
        <v>83.2</v>
      </c>
      <c r="T16" s="29">
        <v>101.3</v>
      </c>
      <c r="U16" s="29">
        <v>41</v>
      </c>
      <c r="V16" s="29">
        <v>50.1</v>
      </c>
      <c r="W16" s="29">
        <v>50.1</v>
      </c>
      <c r="X16" s="39">
        <v>45063</v>
      </c>
    </row>
    <row r="17" spans="1:24" x14ac:dyDescent="0.3">
      <c r="A17" s="37" t="s">
        <v>20</v>
      </c>
      <c r="B17" s="37">
        <v>20030</v>
      </c>
      <c r="C17" s="37" t="s">
        <v>5</v>
      </c>
      <c r="D17" s="30">
        <v>0</v>
      </c>
      <c r="E17" s="37" t="s">
        <v>6</v>
      </c>
      <c r="F17" s="30">
        <v>0.99998842592592596</v>
      </c>
      <c r="G17" s="29">
        <v>28.5</v>
      </c>
      <c r="H17" s="29">
        <v>42.3</v>
      </c>
      <c r="I17" s="29">
        <v>52.3</v>
      </c>
      <c r="J17" s="29">
        <v>-1</v>
      </c>
      <c r="K17" s="29">
        <v>-1</v>
      </c>
      <c r="L17" s="29">
        <v>-1</v>
      </c>
      <c r="M17" s="29">
        <v>58.3</v>
      </c>
      <c r="N17" s="29">
        <v>85.4</v>
      </c>
      <c r="O17" s="29">
        <v>106.1</v>
      </c>
      <c r="P17" s="29">
        <v>28.5</v>
      </c>
      <c r="Q17" s="29">
        <v>42.3</v>
      </c>
      <c r="R17" s="29">
        <v>52.3</v>
      </c>
      <c r="S17" s="29">
        <v>85.4</v>
      </c>
      <c r="T17" s="29">
        <v>106.1</v>
      </c>
      <c r="U17" s="29">
        <v>42.3</v>
      </c>
      <c r="V17" s="29">
        <v>52.3</v>
      </c>
      <c r="W17" s="29">
        <v>52.3</v>
      </c>
      <c r="X17" s="39">
        <v>45071</v>
      </c>
    </row>
    <row r="18" spans="1:24" x14ac:dyDescent="0.3">
      <c r="A18" s="37" t="s">
        <v>21</v>
      </c>
      <c r="B18" s="37">
        <v>20032</v>
      </c>
      <c r="C18" s="37" t="s">
        <v>5</v>
      </c>
      <c r="D18" s="30">
        <v>0</v>
      </c>
      <c r="E18" s="37" t="s">
        <v>6</v>
      </c>
      <c r="F18" s="30">
        <v>0.99998842592592596</v>
      </c>
      <c r="G18" s="29">
        <v>29.1</v>
      </c>
      <c r="H18" s="29">
        <v>43.3</v>
      </c>
      <c r="I18" s="29">
        <v>53.7</v>
      </c>
      <c r="J18" s="29">
        <v>-1</v>
      </c>
      <c r="K18" s="29">
        <v>-1</v>
      </c>
      <c r="L18" s="29">
        <v>-1</v>
      </c>
      <c r="M18" s="29">
        <v>59</v>
      </c>
      <c r="N18" s="29">
        <v>87.6</v>
      </c>
      <c r="O18" s="29">
        <v>108.8</v>
      </c>
      <c r="P18" s="29">
        <v>29.1</v>
      </c>
      <c r="Q18" s="29">
        <v>43.3</v>
      </c>
      <c r="R18" s="29">
        <v>53.7</v>
      </c>
      <c r="S18" s="29">
        <v>87.6</v>
      </c>
      <c r="T18" s="29">
        <v>108.8</v>
      </c>
      <c r="U18" s="29">
        <v>43.3</v>
      </c>
      <c r="V18" s="29">
        <v>53.7</v>
      </c>
      <c r="W18" s="29">
        <v>53.7</v>
      </c>
      <c r="X18" s="39">
        <v>45085</v>
      </c>
    </row>
    <row r="19" spans="1:24" x14ac:dyDescent="0.3">
      <c r="A19" s="37" t="s">
        <v>22</v>
      </c>
      <c r="B19" s="37">
        <v>20034</v>
      </c>
      <c r="C19" s="37" t="s">
        <v>5</v>
      </c>
      <c r="D19" s="30">
        <v>0</v>
      </c>
      <c r="E19" s="37" t="s">
        <v>6</v>
      </c>
      <c r="F19" s="30">
        <v>0.99998842592592596</v>
      </c>
      <c r="G19" s="29">
        <v>30.7</v>
      </c>
      <c r="H19" s="29">
        <v>45.5</v>
      </c>
      <c r="I19" s="29">
        <v>57</v>
      </c>
      <c r="J19" s="29">
        <v>-1</v>
      </c>
      <c r="K19" s="29">
        <v>-1</v>
      </c>
      <c r="L19" s="29">
        <v>-1</v>
      </c>
      <c r="M19" s="29">
        <v>62.5</v>
      </c>
      <c r="N19" s="29">
        <v>92.1</v>
      </c>
      <c r="O19" s="29">
        <v>115.1</v>
      </c>
      <c r="P19" s="29">
        <v>30.7</v>
      </c>
      <c r="Q19" s="29">
        <v>45.5</v>
      </c>
      <c r="R19" s="29">
        <v>57</v>
      </c>
      <c r="S19" s="29">
        <v>92.1</v>
      </c>
      <c r="T19" s="29">
        <v>115.1</v>
      </c>
      <c r="U19" s="29">
        <v>45.5</v>
      </c>
      <c r="V19" s="29">
        <v>57</v>
      </c>
      <c r="W19" s="29">
        <v>57</v>
      </c>
      <c r="X19" s="39">
        <v>45099</v>
      </c>
    </row>
    <row r="20" spans="1:24" x14ac:dyDescent="0.3">
      <c r="A20" s="37" t="s">
        <v>23</v>
      </c>
      <c r="B20" s="37">
        <v>20036</v>
      </c>
      <c r="C20" s="37" t="s">
        <v>5</v>
      </c>
      <c r="D20" s="30">
        <v>0</v>
      </c>
      <c r="E20" s="37" t="s">
        <v>6</v>
      </c>
      <c r="F20" s="30">
        <v>0.99998842592592596</v>
      </c>
      <c r="G20" s="29">
        <v>33.799999999999997</v>
      </c>
      <c r="H20" s="29">
        <v>50.1</v>
      </c>
      <c r="I20" s="29">
        <v>61.4</v>
      </c>
      <c r="J20" s="29">
        <v>-1</v>
      </c>
      <c r="K20" s="29">
        <v>-1</v>
      </c>
      <c r="L20" s="29">
        <v>-1</v>
      </c>
      <c r="M20" s="29">
        <v>67.900000000000006</v>
      </c>
      <c r="N20" s="29">
        <v>101.3</v>
      </c>
      <c r="O20" s="29">
        <v>124.4</v>
      </c>
      <c r="P20" s="29">
        <v>33.799999999999997</v>
      </c>
      <c r="Q20" s="29">
        <v>50.1</v>
      </c>
      <c r="R20" s="29">
        <v>61.4</v>
      </c>
      <c r="S20" s="29">
        <v>101.3</v>
      </c>
      <c r="T20" s="29">
        <v>124.4</v>
      </c>
      <c r="U20" s="29">
        <v>50.1</v>
      </c>
      <c r="V20" s="29">
        <v>61.4</v>
      </c>
      <c r="W20" s="29">
        <v>61.4</v>
      </c>
      <c r="X20" s="39">
        <v>45091</v>
      </c>
    </row>
    <row r="21" spans="1:24" x14ac:dyDescent="0.3">
      <c r="A21" s="37" t="s">
        <v>24</v>
      </c>
      <c r="B21" s="37">
        <v>20038</v>
      </c>
      <c r="C21" s="37" t="s">
        <v>5</v>
      </c>
      <c r="D21" s="30">
        <v>0</v>
      </c>
      <c r="E21" s="37" t="s">
        <v>6</v>
      </c>
      <c r="F21" s="30">
        <v>0.99998842592592596</v>
      </c>
      <c r="G21" s="29">
        <v>34.700000000000003</v>
      </c>
      <c r="H21" s="29">
        <v>52.3</v>
      </c>
      <c r="I21" s="29">
        <v>63.6</v>
      </c>
      <c r="J21" s="29">
        <v>-1</v>
      </c>
      <c r="K21" s="29">
        <v>-1</v>
      </c>
      <c r="L21" s="29">
        <v>-1</v>
      </c>
      <c r="M21" s="29">
        <v>70.8</v>
      </c>
      <c r="N21" s="29">
        <v>106.1</v>
      </c>
      <c r="O21" s="29">
        <v>128.6</v>
      </c>
      <c r="P21" s="29">
        <v>34.700000000000003</v>
      </c>
      <c r="Q21" s="29">
        <v>52.3</v>
      </c>
      <c r="R21" s="29">
        <v>63.6</v>
      </c>
      <c r="S21" s="29">
        <v>106.1</v>
      </c>
      <c r="T21" s="29">
        <v>128.6</v>
      </c>
      <c r="U21" s="29">
        <v>52.3</v>
      </c>
      <c r="V21" s="29">
        <v>63.6</v>
      </c>
      <c r="W21" s="29">
        <v>63.6</v>
      </c>
      <c r="X21" s="39">
        <v>45079</v>
      </c>
    </row>
    <row r="22" spans="1:24" x14ac:dyDescent="0.3">
      <c r="A22" s="37" t="s">
        <v>25</v>
      </c>
      <c r="B22" s="37">
        <v>20040</v>
      </c>
      <c r="C22" s="37" t="s">
        <v>5</v>
      </c>
      <c r="D22" s="30">
        <v>0</v>
      </c>
      <c r="E22" s="37" t="s">
        <v>6</v>
      </c>
      <c r="F22" s="30">
        <v>0.99998842592592596</v>
      </c>
      <c r="G22" s="29">
        <v>36.5</v>
      </c>
      <c r="H22" s="29">
        <v>54.6</v>
      </c>
      <c r="I22" s="29">
        <v>65.900000000000006</v>
      </c>
      <c r="J22" s="29">
        <v>-1</v>
      </c>
      <c r="K22" s="29">
        <v>-1</v>
      </c>
      <c r="L22" s="29">
        <v>-1</v>
      </c>
      <c r="M22" s="29">
        <v>73.900000000000006</v>
      </c>
      <c r="N22" s="29">
        <v>110.3</v>
      </c>
      <c r="O22" s="29">
        <v>133.4</v>
      </c>
      <c r="P22" s="29">
        <v>36.5</v>
      </c>
      <c r="Q22" s="29">
        <v>54.6</v>
      </c>
      <c r="R22" s="29">
        <v>65.900000000000006</v>
      </c>
      <c r="S22" s="29">
        <v>110.3</v>
      </c>
      <c r="T22" s="29">
        <v>133.4</v>
      </c>
      <c r="U22" s="29">
        <v>54.6</v>
      </c>
      <c r="V22" s="29">
        <v>65.900000000000006</v>
      </c>
      <c r="W22" s="29">
        <v>65.900000000000006</v>
      </c>
      <c r="X22" s="39">
        <v>45075</v>
      </c>
    </row>
    <row r="23" spans="1:24" x14ac:dyDescent="0.3">
      <c r="A23" s="37" t="s">
        <v>41</v>
      </c>
      <c r="B23" s="37">
        <v>20042</v>
      </c>
      <c r="C23" s="37" t="s">
        <v>5</v>
      </c>
      <c r="D23" s="30">
        <v>0</v>
      </c>
      <c r="E23" s="37" t="s">
        <v>6</v>
      </c>
      <c r="F23" s="30">
        <v>0.99998842592592596</v>
      </c>
      <c r="G23" s="29">
        <v>38</v>
      </c>
      <c r="H23" s="29">
        <v>57.2</v>
      </c>
      <c r="I23" s="29">
        <v>68.7</v>
      </c>
      <c r="J23" s="29">
        <v>-1</v>
      </c>
      <c r="K23" s="29">
        <v>-1</v>
      </c>
      <c r="L23" s="29">
        <v>-1</v>
      </c>
      <c r="M23" s="29">
        <v>76.599999999999994</v>
      </c>
      <c r="N23" s="29">
        <v>115.5</v>
      </c>
      <c r="O23" s="29">
        <v>138.80000000000001</v>
      </c>
      <c r="P23" s="29">
        <v>38</v>
      </c>
      <c r="Q23" s="29">
        <v>57.2</v>
      </c>
      <c r="R23" s="29">
        <v>68.7</v>
      </c>
      <c r="S23" s="29">
        <v>115.5</v>
      </c>
      <c r="T23" s="29">
        <v>138.80000000000001</v>
      </c>
      <c r="U23" s="29">
        <v>57.2</v>
      </c>
      <c r="V23" s="29">
        <v>68.7</v>
      </c>
      <c r="W23" s="29">
        <v>68.7</v>
      </c>
      <c r="X23" s="39">
        <v>45110</v>
      </c>
    </row>
    <row r="24" spans="1:24" x14ac:dyDescent="0.3">
      <c r="A24" s="37" t="s">
        <v>26</v>
      </c>
      <c r="B24" s="37">
        <v>20044</v>
      </c>
      <c r="C24" s="37" t="s">
        <v>5</v>
      </c>
      <c r="D24" s="30">
        <v>0</v>
      </c>
      <c r="E24" s="37" t="s">
        <v>6</v>
      </c>
      <c r="F24" s="30">
        <v>0.99998842592592596</v>
      </c>
      <c r="G24" s="29">
        <v>38.700000000000003</v>
      </c>
      <c r="H24" s="29">
        <v>59.2</v>
      </c>
      <c r="I24" s="29">
        <v>70.400000000000006</v>
      </c>
      <c r="J24" s="29">
        <v>-1</v>
      </c>
      <c r="K24" s="29">
        <v>-1</v>
      </c>
      <c r="L24" s="29">
        <v>-1</v>
      </c>
      <c r="M24" s="29">
        <v>78.599999999999994</v>
      </c>
      <c r="N24" s="29">
        <v>119.4</v>
      </c>
      <c r="O24" s="29">
        <v>142.5</v>
      </c>
      <c r="P24" s="29">
        <v>38.700000000000003</v>
      </c>
      <c r="Q24" s="29">
        <v>59.2</v>
      </c>
      <c r="R24" s="29">
        <v>70.400000000000006</v>
      </c>
      <c r="S24" s="29">
        <v>119.4</v>
      </c>
      <c r="T24" s="29">
        <v>142.5</v>
      </c>
      <c r="U24" s="29">
        <v>59.2</v>
      </c>
      <c r="V24" s="29">
        <v>70.400000000000006</v>
      </c>
      <c r="W24" s="29">
        <v>70.400000000000006</v>
      </c>
      <c r="X24" s="39">
        <v>45114</v>
      </c>
    </row>
    <row r="25" spans="1:24" x14ac:dyDescent="0.3">
      <c r="A25" s="37" t="s">
        <v>27</v>
      </c>
      <c r="B25" s="37">
        <v>20046</v>
      </c>
      <c r="C25" s="37" t="s">
        <v>5</v>
      </c>
      <c r="D25" s="30">
        <v>0</v>
      </c>
      <c r="E25" s="37" t="s">
        <v>6</v>
      </c>
      <c r="F25" s="30">
        <v>0.99998842592592596</v>
      </c>
      <c r="G25" s="29">
        <v>40.1</v>
      </c>
      <c r="H25" s="29">
        <v>59.2</v>
      </c>
      <c r="I25" s="29">
        <v>72.8</v>
      </c>
      <c r="J25" s="29">
        <v>-1</v>
      </c>
      <c r="K25" s="29">
        <v>-1</v>
      </c>
      <c r="L25" s="29">
        <v>-1</v>
      </c>
      <c r="M25" s="29">
        <v>80.8</v>
      </c>
      <c r="N25" s="29">
        <v>119.4</v>
      </c>
      <c r="O25" s="29">
        <v>146.80000000000001</v>
      </c>
      <c r="P25" s="29">
        <v>40.1</v>
      </c>
      <c r="Q25" s="29">
        <v>59.2</v>
      </c>
      <c r="R25" s="29">
        <v>72.8</v>
      </c>
      <c r="S25" s="29">
        <v>119.4</v>
      </c>
      <c r="T25" s="29">
        <v>146.80000000000001</v>
      </c>
      <c r="U25" s="29">
        <v>59.2</v>
      </c>
      <c r="V25" s="29">
        <v>72.8</v>
      </c>
      <c r="W25" s="29">
        <v>72.8</v>
      </c>
      <c r="X25" s="39">
        <v>45118</v>
      </c>
    </row>
    <row r="26" spans="1:24" x14ac:dyDescent="0.3">
      <c r="A26" s="37" t="s">
        <v>28</v>
      </c>
      <c r="B26" s="37">
        <v>20048</v>
      </c>
      <c r="C26" s="37" t="s">
        <v>5</v>
      </c>
      <c r="D26" s="30">
        <v>0</v>
      </c>
      <c r="E26" s="37" t="s">
        <v>6</v>
      </c>
      <c r="F26" s="30">
        <v>0.99998842592592596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39">
        <v>45142</v>
      </c>
    </row>
    <row r="27" spans="1:24" x14ac:dyDescent="0.3">
      <c r="A27" s="37" t="s">
        <v>57</v>
      </c>
      <c r="B27" s="37">
        <v>20050</v>
      </c>
      <c r="C27" s="37" t="s">
        <v>5</v>
      </c>
      <c r="D27" s="30">
        <v>0</v>
      </c>
      <c r="E27" s="37" t="s">
        <v>6</v>
      </c>
      <c r="F27" s="30">
        <v>0.99998842592592596</v>
      </c>
      <c r="G27" s="29">
        <v>41.3</v>
      </c>
      <c r="H27" s="29">
        <v>61.4</v>
      </c>
      <c r="I27" s="29">
        <v>75</v>
      </c>
      <c r="J27" s="29">
        <v>-1</v>
      </c>
      <c r="K27" s="29">
        <v>-1</v>
      </c>
      <c r="L27" s="29">
        <v>-1</v>
      </c>
      <c r="M27" s="29">
        <v>83.5</v>
      </c>
      <c r="N27" s="29">
        <v>124.4</v>
      </c>
      <c r="O27" s="29">
        <v>151.5</v>
      </c>
      <c r="P27" s="29">
        <v>41.3</v>
      </c>
      <c r="Q27" s="29">
        <v>61.4</v>
      </c>
      <c r="R27" s="29">
        <v>75</v>
      </c>
      <c r="S27" s="29">
        <v>124.4</v>
      </c>
      <c r="T27" s="29">
        <v>151.5</v>
      </c>
      <c r="U27" s="29">
        <v>61.4</v>
      </c>
      <c r="V27" s="29">
        <v>75</v>
      </c>
      <c r="W27" s="29">
        <v>75</v>
      </c>
      <c r="X27" s="39">
        <v>45146</v>
      </c>
    </row>
    <row r="28" spans="1:24" x14ac:dyDescent="0.3">
      <c r="A28" s="37" t="s">
        <v>29</v>
      </c>
      <c r="B28" s="37">
        <v>20052</v>
      </c>
      <c r="C28" s="37" t="s">
        <v>5</v>
      </c>
      <c r="D28" s="30">
        <v>0</v>
      </c>
      <c r="E28" s="37" t="s">
        <v>6</v>
      </c>
      <c r="F28" s="30">
        <v>0.99998842592592596</v>
      </c>
      <c r="G28" s="29">
        <v>42.3</v>
      </c>
      <c r="H28" s="29">
        <v>61.4</v>
      </c>
      <c r="I28" s="29">
        <v>75</v>
      </c>
      <c r="J28" s="29">
        <v>-1</v>
      </c>
      <c r="K28" s="29">
        <v>-1</v>
      </c>
      <c r="L28" s="29">
        <v>-1</v>
      </c>
      <c r="M28" s="29">
        <v>85.4</v>
      </c>
      <c r="N28" s="29">
        <v>124.4</v>
      </c>
      <c r="O28" s="29">
        <v>151.5</v>
      </c>
      <c r="P28" s="29">
        <v>42.3</v>
      </c>
      <c r="Q28" s="29">
        <v>61.4</v>
      </c>
      <c r="R28" s="29">
        <v>75</v>
      </c>
      <c r="S28" s="29">
        <v>124.4</v>
      </c>
      <c r="T28" s="29">
        <v>151.5</v>
      </c>
      <c r="U28" s="29">
        <v>61.4</v>
      </c>
      <c r="V28" s="29">
        <v>75</v>
      </c>
      <c r="W28" s="29">
        <v>75</v>
      </c>
      <c r="X28" s="39">
        <v>45108</v>
      </c>
    </row>
    <row r="29" spans="1:24" x14ac:dyDescent="0.3">
      <c r="A29" s="37" t="s">
        <v>30</v>
      </c>
      <c r="B29" s="37">
        <v>20054</v>
      </c>
      <c r="C29" s="37" t="s">
        <v>5</v>
      </c>
      <c r="D29" s="30">
        <v>0</v>
      </c>
      <c r="E29" s="37" t="s">
        <v>6</v>
      </c>
      <c r="F29" s="30">
        <v>0.99998842592592596</v>
      </c>
      <c r="G29" s="29">
        <v>43.3</v>
      </c>
      <c r="H29" s="29">
        <v>63.6</v>
      </c>
      <c r="I29" s="29">
        <v>77.2</v>
      </c>
      <c r="J29" s="29">
        <v>-1</v>
      </c>
      <c r="K29" s="29">
        <v>-1</v>
      </c>
      <c r="L29" s="29">
        <v>-1</v>
      </c>
      <c r="M29" s="29">
        <v>87.6</v>
      </c>
      <c r="N29" s="29">
        <v>128.6</v>
      </c>
      <c r="O29" s="29">
        <v>156.4</v>
      </c>
      <c r="P29" s="29">
        <v>43.3</v>
      </c>
      <c r="Q29" s="29">
        <v>63.6</v>
      </c>
      <c r="R29" s="29">
        <v>77.2</v>
      </c>
      <c r="S29" s="29">
        <v>128.6</v>
      </c>
      <c r="T29" s="29">
        <v>156.4</v>
      </c>
      <c r="U29" s="29">
        <v>63.6</v>
      </c>
      <c r="V29" s="29">
        <v>77.2</v>
      </c>
      <c r="W29" s="29">
        <v>77.2</v>
      </c>
      <c r="X29" s="39">
        <v>45153</v>
      </c>
    </row>
    <row r="30" spans="1:24" x14ac:dyDescent="0.3">
      <c r="A30" s="37" t="s">
        <v>58</v>
      </c>
      <c r="B30" s="37">
        <v>20058</v>
      </c>
      <c r="C30" s="37" t="s">
        <v>5</v>
      </c>
      <c r="D30" s="30">
        <v>0</v>
      </c>
      <c r="E30" s="37" t="s">
        <v>6</v>
      </c>
      <c r="F30" s="30">
        <v>0.99998842592592596</v>
      </c>
      <c r="G30" s="29">
        <v>-1</v>
      </c>
      <c r="H30" s="29">
        <v>-1</v>
      </c>
      <c r="I30" s="29">
        <v>-1</v>
      </c>
      <c r="J30" s="29">
        <v>-1</v>
      </c>
      <c r="K30" s="29">
        <v>-1</v>
      </c>
      <c r="L30" s="29">
        <v>-1</v>
      </c>
      <c r="M30" s="29">
        <v>-1</v>
      </c>
      <c r="N30" s="29">
        <v>-1</v>
      </c>
      <c r="O30" s="29">
        <v>-1</v>
      </c>
      <c r="P30" s="29">
        <v>-1</v>
      </c>
      <c r="Q30" s="29">
        <v>-1</v>
      </c>
      <c r="R30" s="29">
        <v>-1</v>
      </c>
      <c r="S30" s="29">
        <v>-1</v>
      </c>
      <c r="T30" s="29">
        <v>-1</v>
      </c>
      <c r="U30" s="29">
        <v>-1</v>
      </c>
      <c r="V30" s="29">
        <v>-1</v>
      </c>
      <c r="W30" s="29">
        <v>-1</v>
      </c>
      <c r="X30" s="39">
        <v>45150</v>
      </c>
    </row>
    <row r="31" spans="1:24" x14ac:dyDescent="0.3">
      <c r="A31" s="37" t="s">
        <v>31</v>
      </c>
      <c r="B31" s="37">
        <v>20060</v>
      </c>
      <c r="C31" s="37" t="s">
        <v>5</v>
      </c>
      <c r="D31" s="30">
        <v>0</v>
      </c>
      <c r="E31" s="37" t="s">
        <v>6</v>
      </c>
      <c r="F31" s="30">
        <v>0.99998842592592596</v>
      </c>
      <c r="G31" s="29">
        <v>45</v>
      </c>
      <c r="H31" s="29">
        <v>65.900000000000006</v>
      </c>
      <c r="I31" s="29">
        <v>79.400000000000006</v>
      </c>
      <c r="J31" s="29">
        <v>-1</v>
      </c>
      <c r="K31" s="29">
        <v>-1</v>
      </c>
      <c r="L31" s="29">
        <v>-1</v>
      </c>
      <c r="M31" s="29">
        <v>90.9</v>
      </c>
      <c r="N31" s="29">
        <v>133.4</v>
      </c>
      <c r="O31" s="29">
        <v>160.9</v>
      </c>
      <c r="P31" s="29">
        <v>45</v>
      </c>
      <c r="Q31" s="29">
        <v>65.900000000000006</v>
      </c>
      <c r="R31" s="29">
        <v>79.400000000000006</v>
      </c>
      <c r="S31" s="29">
        <v>133.4</v>
      </c>
      <c r="T31" s="29">
        <v>160.9</v>
      </c>
      <c r="U31" s="29">
        <v>65.900000000000006</v>
      </c>
      <c r="V31" s="29">
        <v>79.400000000000006</v>
      </c>
      <c r="W31" s="29">
        <v>79.400000000000006</v>
      </c>
      <c r="X31" s="39">
        <v>45157</v>
      </c>
    </row>
    <row r="32" spans="1:24" x14ac:dyDescent="0.3">
      <c r="A32" s="37" t="s">
        <v>32</v>
      </c>
      <c r="B32" s="37">
        <v>21000</v>
      </c>
      <c r="C32" s="37" t="s">
        <v>5</v>
      </c>
      <c r="D32" s="30">
        <v>0</v>
      </c>
      <c r="E32" s="37" t="s">
        <v>6</v>
      </c>
      <c r="F32" s="30">
        <v>0.99998842592592596</v>
      </c>
      <c r="G32" s="29">
        <v>-1</v>
      </c>
      <c r="H32" s="29">
        <v>-1</v>
      </c>
      <c r="I32" s="29">
        <v>-1</v>
      </c>
      <c r="J32" s="29">
        <v>-1</v>
      </c>
      <c r="K32" s="29">
        <v>-1</v>
      </c>
      <c r="L32" s="29">
        <v>-1</v>
      </c>
      <c r="M32" s="29">
        <v>-1</v>
      </c>
      <c r="N32" s="29">
        <v>-1</v>
      </c>
      <c r="O32" s="29">
        <v>-1</v>
      </c>
      <c r="P32" s="29">
        <v>-1</v>
      </c>
      <c r="Q32" s="29">
        <v>-1</v>
      </c>
      <c r="R32" s="29">
        <v>-1</v>
      </c>
      <c r="S32" s="29">
        <v>-1</v>
      </c>
      <c r="T32" s="29">
        <v>-1</v>
      </c>
      <c r="U32" s="29">
        <v>-1</v>
      </c>
      <c r="V32" s="29">
        <v>-1</v>
      </c>
      <c r="W32" s="29">
        <v>-1</v>
      </c>
      <c r="X32" s="39">
        <v>45143</v>
      </c>
    </row>
    <row r="33" spans="1:24" x14ac:dyDescent="0.3">
      <c r="A33" s="37" t="s">
        <v>33</v>
      </c>
      <c r="B33" s="37">
        <v>21002</v>
      </c>
      <c r="C33" s="37" t="s">
        <v>5</v>
      </c>
      <c r="D33" s="30">
        <v>0</v>
      </c>
      <c r="E33" s="37" t="s">
        <v>6</v>
      </c>
      <c r="F33" s="30">
        <v>0.99998842592592596</v>
      </c>
      <c r="G33" s="29">
        <v>41.5</v>
      </c>
      <c r="H33" s="29">
        <v>61.4</v>
      </c>
      <c r="I33" s="29">
        <v>75</v>
      </c>
      <c r="J33" s="29">
        <v>-1</v>
      </c>
      <c r="K33" s="29">
        <v>-1</v>
      </c>
      <c r="L33" s="29">
        <v>-1</v>
      </c>
      <c r="M33" s="29">
        <v>84.6</v>
      </c>
      <c r="N33" s="29">
        <v>124.4</v>
      </c>
      <c r="O33" s="29">
        <v>151.5</v>
      </c>
      <c r="P33" s="29">
        <v>41.5</v>
      </c>
      <c r="Q33" s="29">
        <v>61.4</v>
      </c>
      <c r="R33" s="29">
        <v>75</v>
      </c>
      <c r="S33" s="29">
        <v>124.4</v>
      </c>
      <c r="T33" s="29">
        <v>151.5</v>
      </c>
      <c r="U33" s="29">
        <v>61.4</v>
      </c>
      <c r="V33" s="29">
        <v>75</v>
      </c>
      <c r="W33" s="29">
        <v>75</v>
      </c>
      <c r="X33" s="39">
        <v>45166</v>
      </c>
    </row>
    <row r="34" spans="1:24" x14ac:dyDescent="0.3">
      <c r="A34" s="37" t="s">
        <v>34</v>
      </c>
      <c r="B34" s="37">
        <v>21004</v>
      </c>
      <c r="C34" s="37" t="s">
        <v>5</v>
      </c>
      <c r="D34" s="30">
        <v>0</v>
      </c>
      <c r="E34" s="37" t="s">
        <v>6</v>
      </c>
      <c r="F34" s="30">
        <v>0.99998842592592596</v>
      </c>
      <c r="G34" s="29">
        <v>43.3</v>
      </c>
      <c r="H34" s="29">
        <v>63.6</v>
      </c>
      <c r="I34" s="29">
        <v>79.400000000000006</v>
      </c>
      <c r="J34" s="29">
        <v>-1</v>
      </c>
      <c r="K34" s="29">
        <v>-1</v>
      </c>
      <c r="L34" s="29">
        <v>-1</v>
      </c>
      <c r="M34" s="29">
        <v>87.6</v>
      </c>
      <c r="N34" s="29">
        <v>128.6</v>
      </c>
      <c r="O34" s="29">
        <v>160.9</v>
      </c>
      <c r="P34" s="29">
        <v>43.3</v>
      </c>
      <c r="Q34" s="29">
        <v>63.6</v>
      </c>
      <c r="R34" s="29">
        <v>79.400000000000006</v>
      </c>
      <c r="S34" s="29">
        <v>128.6</v>
      </c>
      <c r="T34" s="29">
        <v>160.9</v>
      </c>
      <c r="U34" s="29">
        <v>63.6</v>
      </c>
      <c r="V34" s="29">
        <v>79.400000000000006</v>
      </c>
      <c r="W34" s="29">
        <v>79.400000000000006</v>
      </c>
      <c r="X34" s="39">
        <v>45162</v>
      </c>
    </row>
    <row r="35" spans="1:24" x14ac:dyDescent="0.3">
      <c r="A35" s="37" t="s">
        <v>35</v>
      </c>
      <c r="B35" s="37">
        <v>21006</v>
      </c>
      <c r="C35" s="37" t="s">
        <v>5</v>
      </c>
      <c r="D35" s="30">
        <v>0</v>
      </c>
      <c r="E35" s="37" t="s">
        <v>6</v>
      </c>
      <c r="F35" s="30">
        <v>0.99998842592592596</v>
      </c>
      <c r="G35" s="29">
        <v>44.5</v>
      </c>
      <c r="H35" s="29">
        <v>65.900000000000006</v>
      </c>
      <c r="I35" s="29">
        <v>81.8</v>
      </c>
      <c r="J35" s="29">
        <v>-1</v>
      </c>
      <c r="K35" s="29">
        <v>-1</v>
      </c>
      <c r="L35" s="29">
        <v>-1</v>
      </c>
      <c r="M35" s="29">
        <v>89.9</v>
      </c>
      <c r="N35" s="29">
        <v>133.4</v>
      </c>
      <c r="O35" s="29">
        <v>165.3</v>
      </c>
      <c r="P35" s="29">
        <v>44.5</v>
      </c>
      <c r="Q35" s="29">
        <v>65.900000000000006</v>
      </c>
      <c r="R35" s="29">
        <v>81.8</v>
      </c>
      <c r="S35" s="29">
        <v>133.4</v>
      </c>
      <c r="T35" s="29">
        <v>165.3</v>
      </c>
      <c r="U35" s="29">
        <v>65.900000000000006</v>
      </c>
      <c r="V35" s="29">
        <v>81.8</v>
      </c>
      <c r="W35" s="29">
        <v>81.8</v>
      </c>
      <c r="X35" s="39">
        <v>45160</v>
      </c>
    </row>
    <row r="36" spans="1:24" x14ac:dyDescent="0.3">
      <c r="A36" s="37" t="s">
        <v>36</v>
      </c>
      <c r="B36" s="37">
        <v>21008</v>
      </c>
      <c r="C36" s="37" t="s">
        <v>5</v>
      </c>
      <c r="D36" s="30">
        <v>0</v>
      </c>
      <c r="E36" s="37" t="s">
        <v>6</v>
      </c>
      <c r="F36" s="30">
        <v>0.99998842592592596</v>
      </c>
      <c r="G36" s="29">
        <v>47.3</v>
      </c>
      <c r="H36" s="29">
        <v>70.400000000000006</v>
      </c>
      <c r="I36" s="29">
        <v>86.4</v>
      </c>
      <c r="J36" s="29">
        <v>-1</v>
      </c>
      <c r="K36" s="29">
        <v>-1</v>
      </c>
      <c r="L36" s="29">
        <v>-1</v>
      </c>
      <c r="M36" s="29">
        <v>95.6</v>
      </c>
      <c r="N36" s="29">
        <v>142.5</v>
      </c>
      <c r="O36" s="29">
        <v>174.2</v>
      </c>
      <c r="P36" s="29">
        <v>47.3</v>
      </c>
      <c r="Q36" s="29">
        <v>70.400000000000006</v>
      </c>
      <c r="R36" s="29">
        <v>86.4</v>
      </c>
      <c r="S36" s="29">
        <v>142.5</v>
      </c>
      <c r="T36" s="29">
        <v>174.2</v>
      </c>
      <c r="U36" s="29">
        <v>70.400000000000006</v>
      </c>
      <c r="V36" s="29">
        <v>86.4</v>
      </c>
      <c r="W36" s="29">
        <v>86.4</v>
      </c>
      <c r="X36" s="39">
        <v>45179</v>
      </c>
    </row>
    <row r="37" spans="1:24" x14ac:dyDescent="0.3">
      <c r="A37" s="37" t="s">
        <v>42</v>
      </c>
      <c r="B37" s="37">
        <v>21010</v>
      </c>
      <c r="C37" s="37" t="s">
        <v>5</v>
      </c>
      <c r="D37" s="30">
        <v>0</v>
      </c>
      <c r="E37" s="37" t="s">
        <v>6</v>
      </c>
      <c r="F37" s="30">
        <v>0.99998842592592596</v>
      </c>
      <c r="G37" s="29">
        <v>48.3</v>
      </c>
      <c r="H37" s="29">
        <v>72</v>
      </c>
      <c r="I37" s="29">
        <v>89</v>
      </c>
      <c r="J37" s="29">
        <v>-1</v>
      </c>
      <c r="K37" s="29">
        <v>-1</v>
      </c>
      <c r="L37" s="29">
        <v>-1</v>
      </c>
      <c r="M37" s="29">
        <v>97.9</v>
      </c>
      <c r="N37" s="29">
        <v>145.5</v>
      </c>
      <c r="O37" s="29">
        <v>179.8</v>
      </c>
      <c r="P37" s="29">
        <v>48.3</v>
      </c>
      <c r="Q37" s="29">
        <v>72</v>
      </c>
      <c r="R37" s="29">
        <v>89</v>
      </c>
      <c r="S37" s="29">
        <v>145.5</v>
      </c>
      <c r="T37" s="29">
        <v>179.8</v>
      </c>
      <c r="U37" s="29">
        <v>72</v>
      </c>
      <c r="V37" s="29">
        <v>89</v>
      </c>
      <c r="W37" s="29">
        <v>89</v>
      </c>
      <c r="X37" s="39">
        <v>45157</v>
      </c>
    </row>
    <row r="38" spans="1:24" x14ac:dyDescent="0.3">
      <c r="A38" s="37" t="s">
        <v>37</v>
      </c>
      <c r="B38" s="37">
        <v>21012</v>
      </c>
      <c r="C38" s="37" t="s">
        <v>5</v>
      </c>
      <c r="D38" s="30">
        <v>0</v>
      </c>
      <c r="E38" s="37" t="s">
        <v>6</v>
      </c>
      <c r="F38" s="30">
        <v>0.99998842592592596</v>
      </c>
      <c r="G38" s="29">
        <v>49.1</v>
      </c>
      <c r="H38" s="29">
        <v>72.8</v>
      </c>
      <c r="I38" s="29">
        <v>90.9</v>
      </c>
      <c r="J38" s="29">
        <v>-1</v>
      </c>
      <c r="K38" s="29">
        <v>-1</v>
      </c>
      <c r="L38" s="29">
        <v>-1</v>
      </c>
      <c r="M38" s="29">
        <v>99.5</v>
      </c>
      <c r="N38" s="29">
        <v>146.80000000000001</v>
      </c>
      <c r="O38" s="29">
        <v>183.5</v>
      </c>
      <c r="P38" s="29">
        <v>49.1</v>
      </c>
      <c r="Q38" s="29">
        <v>72.8</v>
      </c>
      <c r="R38" s="29">
        <v>90.9</v>
      </c>
      <c r="S38" s="29">
        <v>146.80000000000001</v>
      </c>
      <c r="T38" s="29">
        <v>183.5</v>
      </c>
      <c r="U38" s="29">
        <v>72.8</v>
      </c>
      <c r="V38" s="29">
        <v>90.9</v>
      </c>
      <c r="W38" s="29">
        <v>90.9</v>
      </c>
      <c r="X38" s="39">
        <v>45143</v>
      </c>
    </row>
    <row r="39" spans="1:24" x14ac:dyDescent="0.3">
      <c r="A39" s="37" t="s">
        <v>38</v>
      </c>
      <c r="B39" s="37">
        <v>21014</v>
      </c>
      <c r="C39" s="37" t="s">
        <v>5</v>
      </c>
      <c r="D39" s="30">
        <v>0</v>
      </c>
      <c r="E39" s="37" t="s">
        <v>6</v>
      </c>
      <c r="F39" s="30">
        <v>0.99998842592592596</v>
      </c>
      <c r="G39" s="29">
        <v>50.6</v>
      </c>
      <c r="H39" s="29">
        <v>75</v>
      </c>
      <c r="I39" s="29">
        <v>93.1</v>
      </c>
      <c r="J39" s="29">
        <v>-1</v>
      </c>
      <c r="K39" s="29">
        <v>-1</v>
      </c>
      <c r="L39" s="29">
        <v>-1</v>
      </c>
      <c r="M39" s="29">
        <v>102.6</v>
      </c>
      <c r="N39" s="29">
        <v>151.5</v>
      </c>
      <c r="O39" s="29">
        <v>188.1</v>
      </c>
      <c r="P39" s="29">
        <v>50.6</v>
      </c>
      <c r="Q39" s="29">
        <v>75</v>
      </c>
      <c r="R39" s="29">
        <v>93.1</v>
      </c>
      <c r="S39" s="29">
        <v>151.5</v>
      </c>
      <c r="T39" s="29">
        <v>188.1</v>
      </c>
      <c r="U39" s="29">
        <v>75</v>
      </c>
      <c r="V39" s="29">
        <v>93.1</v>
      </c>
      <c r="W39" s="29">
        <v>93.1</v>
      </c>
      <c r="X39" s="39">
        <v>45166</v>
      </c>
    </row>
    <row r="40" spans="1:24" x14ac:dyDescent="0.3">
      <c r="A40" s="37" t="s">
        <v>39</v>
      </c>
      <c r="B40" s="37">
        <v>21016</v>
      </c>
      <c r="C40" s="37" t="s">
        <v>5</v>
      </c>
      <c r="D40" s="30">
        <v>0</v>
      </c>
      <c r="E40" s="37" t="s">
        <v>6</v>
      </c>
      <c r="F40" s="30">
        <v>0.99998842592592596</v>
      </c>
      <c r="G40" s="29">
        <v>51.8</v>
      </c>
      <c r="H40" s="29">
        <v>77.2</v>
      </c>
      <c r="I40" s="29">
        <v>93.1</v>
      </c>
      <c r="J40" s="29">
        <v>-1</v>
      </c>
      <c r="K40" s="29">
        <v>-1</v>
      </c>
      <c r="L40" s="29">
        <v>-1</v>
      </c>
      <c r="M40" s="29">
        <v>104.5</v>
      </c>
      <c r="N40" s="29">
        <v>156.4</v>
      </c>
      <c r="O40" s="29">
        <v>188.1</v>
      </c>
      <c r="P40" s="29">
        <v>51.8</v>
      </c>
      <c r="Q40" s="29">
        <v>77.2</v>
      </c>
      <c r="R40" s="29">
        <v>93.1</v>
      </c>
      <c r="S40" s="29">
        <v>156.4</v>
      </c>
      <c r="T40" s="29">
        <v>188.1</v>
      </c>
      <c r="U40" s="29">
        <v>77.2</v>
      </c>
      <c r="V40" s="29">
        <v>93.1</v>
      </c>
      <c r="W40" s="29">
        <v>93.1</v>
      </c>
      <c r="X40" s="39">
        <v>45162</v>
      </c>
    </row>
    <row r="42" spans="1:24" x14ac:dyDescent="0.3">
      <c r="D42" s="69" t="s">
        <v>179</v>
      </c>
      <c r="E42" s="70"/>
      <c r="F42" s="70"/>
      <c r="G42" s="70"/>
      <c r="H42" s="29">
        <f>SUMIF(Table1[car2],"&gt;20")</f>
        <v>1473.0000000000002</v>
      </c>
    </row>
  </sheetData>
  <mergeCells count="1">
    <mergeCell ref="D42:G42"/>
  </mergeCells>
  <conditionalFormatting sqref="A1:A1048576">
    <cfRule type="duplicateValues" dxfId="78" priority="8"/>
  </conditionalFormatting>
  <conditionalFormatting sqref="B1:B1048576">
    <cfRule type="duplicateValues" dxfId="77" priority="7"/>
  </conditionalFormatting>
  <conditionalFormatting sqref="A1:XFD41 A43:XFD1048576 H42:XFD42 A42:D42">
    <cfRule type="cellIs" dxfId="76" priority="6" operator="equal">
      <formula>-1</formula>
    </cfRule>
  </conditionalFormatting>
  <conditionalFormatting sqref="A2:X40">
    <cfRule type="cellIs" dxfId="75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E19" sqref="E1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6" x14ac:dyDescent="0.3">
      <c r="A2" s="2"/>
      <c r="B2" s="5" t="s">
        <v>159</v>
      </c>
      <c r="C2" s="2"/>
    </row>
    <row r="3" spans="1:6" x14ac:dyDescent="0.3">
      <c r="A3" s="6">
        <v>1</v>
      </c>
      <c r="B3" s="2" t="s">
        <v>107</v>
      </c>
      <c r="C3" s="2" t="s">
        <v>45</v>
      </c>
      <c r="E3" s="1">
        <v>5</v>
      </c>
      <c r="F3" s="1" t="s">
        <v>177</v>
      </c>
    </row>
    <row r="4" spans="1:6" x14ac:dyDescent="0.3">
      <c r="A4" s="6">
        <v>2</v>
      </c>
      <c r="B4" s="2" t="s">
        <v>46</v>
      </c>
      <c r="C4" s="2"/>
      <c r="E4" s="1">
        <v>5</v>
      </c>
      <c r="F4" s="1" t="s">
        <v>177</v>
      </c>
    </row>
    <row r="5" spans="1:6" x14ac:dyDescent="0.3">
      <c r="A5" s="6">
        <v>3</v>
      </c>
      <c r="B5" s="2" t="s">
        <v>104</v>
      </c>
      <c r="C5" s="19" t="s">
        <v>178</v>
      </c>
      <c r="E5" s="1">
        <v>10</v>
      </c>
      <c r="F5" s="1" t="s">
        <v>177</v>
      </c>
    </row>
    <row r="6" spans="1:6" x14ac:dyDescent="0.3">
      <c r="A6" s="6">
        <v>4</v>
      </c>
      <c r="B6" s="2" t="s">
        <v>106</v>
      </c>
      <c r="C6" s="2"/>
      <c r="E6" s="1">
        <v>5</v>
      </c>
      <c r="F6" s="1" t="s">
        <v>177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8" zoomScaleNormal="100" workbookViewId="0">
      <selection activeCell="I12" sqref="I1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26" customFormat="1" ht="21" x14ac:dyDescent="0.4">
      <c r="A1" s="27" t="s">
        <v>55</v>
      </c>
      <c r="B1" s="26" t="s">
        <v>163</v>
      </c>
    </row>
    <row r="2" spans="1:7" s="26" customFormat="1" ht="21" x14ac:dyDescent="0.4">
      <c r="B2" s="26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4" t="s">
        <v>161</v>
      </c>
      <c r="B4" s="1"/>
      <c r="C4" s="1"/>
      <c r="D4" s="1"/>
      <c r="E4" s="1"/>
      <c r="F4" s="1"/>
      <c r="G4" s="1"/>
    </row>
    <row r="5" spans="1:7" ht="14.4" x14ac:dyDescent="0.3">
      <c r="A5" s="41" t="s">
        <v>64</v>
      </c>
      <c r="B5" s="42" t="s">
        <v>79</v>
      </c>
      <c r="C5" s="43" t="s">
        <v>71</v>
      </c>
      <c r="D5" s="42" t="s">
        <v>75</v>
      </c>
      <c r="E5" s="43" t="s">
        <v>76</v>
      </c>
      <c r="F5" s="44" t="s">
        <v>77</v>
      </c>
    </row>
    <row r="6" spans="1:7" ht="14.4" x14ac:dyDescent="0.3">
      <c r="A6" s="1" t="s">
        <v>40</v>
      </c>
      <c r="B6" s="11">
        <f>VLOOKUP($A$6:$A$27, Table1[#All], 7, FALSE)</f>
        <v>2.7</v>
      </c>
      <c r="C6" s="11">
        <f>VLOOKUP($A$6:$A$27, Table1[#All], 14, FALSE)</f>
        <v>7.6</v>
      </c>
      <c r="D6" s="11">
        <f>VLOOKUP($A$6:$A$27, Table1[#All], 18, FALSE)</f>
        <v>4.2</v>
      </c>
      <c r="E6" s="11">
        <f>VLOOKUP($A$6:$A$27, Table1[#All], 20, FALSE)</f>
        <v>8.9</v>
      </c>
      <c r="F6" s="1">
        <f>VLOOKUP($A$6:$A$27, Table1[#All], 22, FALSE)</f>
        <v>4.2</v>
      </c>
    </row>
    <row r="7" spans="1:7" ht="14.4" x14ac:dyDescent="0.3">
      <c r="A7" s="1" t="s">
        <v>4</v>
      </c>
      <c r="B7" s="11">
        <f>VLOOKUP($A$6:$A$27, Table1[#All], 7, FALSE)</f>
        <v>2.7</v>
      </c>
      <c r="C7" s="11">
        <f>VLOOKUP($A$6:$A$27, Table1[#All], 14, FALSE)</f>
        <v>7.6</v>
      </c>
      <c r="D7" s="11">
        <f>VLOOKUP($A$6:$A$27, Table1[#All], 18, FALSE)</f>
        <v>4.2</v>
      </c>
      <c r="E7" s="11">
        <f>VLOOKUP($A$6:$A$27, Table1[#All], 20, FALSE)</f>
        <v>8.9</v>
      </c>
      <c r="F7" s="1">
        <f>VLOOKUP($A$6:$A$27, Table1[#All], 22, FALSE)</f>
        <v>4.2</v>
      </c>
    </row>
    <row r="8" spans="1:7" ht="14.4" x14ac:dyDescent="0.3">
      <c r="A8" s="1" t="s">
        <v>7</v>
      </c>
      <c r="B8" s="11">
        <f>VLOOKUP($A$6:$A$27, Table1[#All], 7, FALSE)</f>
        <v>3.6</v>
      </c>
      <c r="C8" s="11">
        <f>VLOOKUP($A$6:$A$27, Table1[#All], 14, FALSE)</f>
        <v>11.1</v>
      </c>
      <c r="D8" s="11">
        <f>VLOOKUP($A$6:$A$27, Table1[#All], 18, FALSE)</f>
        <v>5.8</v>
      </c>
      <c r="E8" s="11">
        <f>VLOOKUP($A$6:$A$27, Table1[#All], 20, FALSE)</f>
        <v>12.2</v>
      </c>
      <c r="F8" s="1">
        <f>VLOOKUP($A$6:$A$27, Table1[#All], 22, FALSE)</f>
        <v>5.8</v>
      </c>
    </row>
    <row r="9" spans="1:7" ht="14.4" x14ac:dyDescent="0.3">
      <c r="A9" s="1" t="s">
        <v>8</v>
      </c>
      <c r="B9" s="11">
        <f>VLOOKUP($A$6:$A$27, Table1[#All], 7, FALSE)</f>
        <v>4.9000000000000004</v>
      </c>
      <c r="C9" s="11">
        <f>VLOOKUP($A$6:$A$27, Table1[#All], 14, FALSE)</f>
        <v>13.3</v>
      </c>
      <c r="D9" s="11">
        <f>VLOOKUP($A$6:$A$27, Table1[#All], 18, FALSE)</f>
        <v>8.1</v>
      </c>
      <c r="E9" s="11">
        <f>VLOOKUP($A$6:$A$27, Table1[#All], 20, FALSE)</f>
        <v>17</v>
      </c>
      <c r="F9" s="1">
        <f>VLOOKUP($A$6:$A$27, Table1[#All], 22, FALSE)</f>
        <v>8.1</v>
      </c>
    </row>
    <row r="10" spans="1:7" ht="14.4" x14ac:dyDescent="0.3">
      <c r="A10" s="1" t="s">
        <v>11</v>
      </c>
      <c r="B10" s="11">
        <f>VLOOKUP($A$6:$A$27, Table1[#All], 7, FALSE)</f>
        <v>9.4</v>
      </c>
      <c r="C10" s="11">
        <f>VLOOKUP($A$6:$A$27, Table1[#All], 14, FALSE)</f>
        <v>28.3</v>
      </c>
      <c r="D10" s="11">
        <f>VLOOKUP($A$6:$A$27, Table1[#All], 18, FALSE)</f>
        <v>16.100000000000001</v>
      </c>
      <c r="E10" s="11">
        <f>VLOOKUP($A$6:$A$27, Table1[#All], 20, FALSE)</f>
        <v>32.799999999999997</v>
      </c>
      <c r="F10" s="1">
        <f>VLOOKUP($A$6:$A$27, Table1[#All], 22, FALSE)</f>
        <v>16.100000000000001</v>
      </c>
    </row>
    <row r="11" spans="1:7" ht="14.4" x14ac:dyDescent="0.3">
      <c r="A11" s="1" t="s">
        <v>12</v>
      </c>
      <c r="B11" s="11">
        <f>VLOOKUP($A$6:$A$27, Table1[#All], 7, FALSE)</f>
        <v>11.6</v>
      </c>
      <c r="C11" s="11">
        <f>VLOOKUP($A$6:$A$27, Table1[#All], 14, FALSE)</f>
        <v>35.200000000000003</v>
      </c>
      <c r="D11" s="11">
        <f>VLOOKUP($A$6:$A$27, Table1[#All], 18, FALSE)</f>
        <v>21.3</v>
      </c>
      <c r="E11" s="11">
        <f>VLOOKUP($A$6:$A$27, Table1[#All], 20, FALSE)</f>
        <v>43</v>
      </c>
      <c r="F11" s="1">
        <f>VLOOKUP($A$6:$A$27, Table1[#All], 22, FALSE)</f>
        <v>21.3</v>
      </c>
    </row>
    <row r="12" spans="1:7" ht="14.4" x14ac:dyDescent="0.3">
      <c r="A12" s="1" t="s">
        <v>14</v>
      </c>
      <c r="B12" s="11">
        <f>VLOOKUP($A$6:$A$27, Table1[#All], 7, FALSE)</f>
        <v>18.399999999999999</v>
      </c>
      <c r="C12" s="11">
        <f>VLOOKUP($A$6:$A$27, Table1[#All], 14, FALSE)</f>
        <v>55.6</v>
      </c>
      <c r="D12" s="11">
        <f>VLOOKUP($A$6:$A$27, Table1[#All], 18, FALSE)</f>
        <v>33.799999999999997</v>
      </c>
      <c r="E12" s="11">
        <f>VLOOKUP($A$6:$A$27, Table1[#All], 20, FALSE)</f>
        <v>67.900000000000006</v>
      </c>
      <c r="F12" s="1">
        <f>VLOOKUP($A$6:$A$27, Table1[#All], 22, FALSE)</f>
        <v>33.799999999999997</v>
      </c>
    </row>
    <row r="13" spans="1:7" ht="14.4" x14ac:dyDescent="0.3">
      <c r="A13" s="1" t="s">
        <v>15</v>
      </c>
      <c r="B13" s="11">
        <f>VLOOKUP($A$6:$A$27, Table1[#All], 7, FALSE)</f>
        <v>0</v>
      </c>
      <c r="C13" s="11">
        <f>VLOOKUP($A$6:$A$27, Table1[#All], 14, FALSE)</f>
        <v>0</v>
      </c>
      <c r="D13" s="11">
        <f>VLOOKUP($A$6:$A$27, Table1[#All], 18, FALSE)</f>
        <v>0</v>
      </c>
      <c r="E13" s="11">
        <f>VLOOKUP($A$6:$A$27, Table1[#All], 20, FALSE)</f>
        <v>0</v>
      </c>
      <c r="F13" s="1">
        <f>VLOOKUP($A$6:$A$27, Table1[#All], 22, FALSE)</f>
        <v>0</v>
      </c>
    </row>
    <row r="14" spans="1:7" ht="14.4" x14ac:dyDescent="0.3">
      <c r="A14" s="1" t="s">
        <v>16</v>
      </c>
      <c r="B14" s="11">
        <f>VLOOKUP($A$6:$A$27, Table1[#All], 7, FALSE)</f>
        <v>21.9</v>
      </c>
      <c r="C14" s="11">
        <f>VLOOKUP($A$6:$A$27, Table1[#All], 14, FALSE)</f>
        <v>61.5</v>
      </c>
      <c r="D14" s="11">
        <f>VLOOKUP($A$6:$A$27, Table1[#All], 18, FALSE)</f>
        <v>40.1</v>
      </c>
      <c r="E14" s="11">
        <f>VLOOKUP($A$6:$A$27, Table1[#All], 20, FALSE)</f>
        <v>76.599999999999994</v>
      </c>
      <c r="F14" s="1">
        <f>VLOOKUP($A$6:$A$27, Table1[#All], 22, FALSE)</f>
        <v>40.1</v>
      </c>
    </row>
    <row r="15" spans="1:7" ht="14.4" x14ac:dyDescent="0.3">
      <c r="A15" s="1" t="s">
        <v>18</v>
      </c>
      <c r="B15" s="11">
        <f>VLOOKUP($A$6:$A$27, Table1[#All], 7, FALSE)</f>
        <v>26.8</v>
      </c>
      <c r="C15" s="11">
        <f>VLOOKUP($A$6:$A$27, Table1[#All], 14, FALSE)</f>
        <v>79.599999999999994</v>
      </c>
      <c r="D15" s="11">
        <f>VLOOKUP($A$6:$A$27, Table1[#All], 18, FALSE)</f>
        <v>47.9</v>
      </c>
      <c r="E15" s="11">
        <f>VLOOKUP($A$6:$A$27, Table1[#All], 20, FALSE)</f>
        <v>96.8</v>
      </c>
      <c r="F15" s="1">
        <f>VLOOKUP($A$6:$A$27, Table1[#All], 22, FALSE)</f>
        <v>47.9</v>
      </c>
    </row>
    <row r="16" spans="1:7" ht="14.4" x14ac:dyDescent="0.3">
      <c r="A16" s="1" t="s">
        <v>20</v>
      </c>
      <c r="B16" s="11">
        <f>VLOOKUP($A$6:$A$27, Table1[#All], 7, FALSE)</f>
        <v>28.5</v>
      </c>
      <c r="C16" s="11">
        <f>VLOOKUP($A$6:$A$27, Table1[#All], 14, FALSE)</f>
        <v>85.4</v>
      </c>
      <c r="D16" s="11">
        <f>VLOOKUP($A$6:$A$27, Table1[#All], 18, FALSE)</f>
        <v>52.3</v>
      </c>
      <c r="E16" s="11">
        <f>VLOOKUP($A$6:$A$27, Table1[#All], 20, FALSE)</f>
        <v>106.1</v>
      </c>
      <c r="F16" s="1">
        <f>VLOOKUP($A$6:$A$27, Table1[#All], 22, FALSE)</f>
        <v>52.3</v>
      </c>
    </row>
    <row r="17" spans="1:6" ht="14.4" x14ac:dyDescent="0.3">
      <c r="A17" s="1" t="s">
        <v>22</v>
      </c>
      <c r="B17" s="11">
        <f>VLOOKUP($A$6:$A$27, Table1[#All], 7, FALSE)</f>
        <v>30.7</v>
      </c>
      <c r="C17" s="11">
        <f>VLOOKUP($A$6:$A$27, Table1[#All], 14, FALSE)</f>
        <v>92.1</v>
      </c>
      <c r="D17" s="11">
        <f>VLOOKUP($A$6:$A$27, Table1[#All], 18, FALSE)</f>
        <v>57</v>
      </c>
      <c r="E17" s="11">
        <f>VLOOKUP($A$6:$A$27, Table1[#All], 20, FALSE)</f>
        <v>115.1</v>
      </c>
      <c r="F17" s="1">
        <f>VLOOKUP($A$6:$A$27, Table1[#All], 22, FALSE)</f>
        <v>57</v>
      </c>
    </row>
    <row r="18" spans="1:6" ht="14.4" x14ac:dyDescent="0.3">
      <c r="A18" s="1" t="s">
        <v>23</v>
      </c>
      <c r="B18" s="11">
        <f>VLOOKUP($A$6:$A$27, Table1[#All], 7, FALSE)</f>
        <v>33.799999999999997</v>
      </c>
      <c r="C18" s="11">
        <f>VLOOKUP($A$6:$A$27, Table1[#All], 14, FALSE)</f>
        <v>101.3</v>
      </c>
      <c r="D18" s="11">
        <f>VLOOKUP($A$6:$A$27, Table1[#All], 18, FALSE)</f>
        <v>61.4</v>
      </c>
      <c r="E18" s="11">
        <f>VLOOKUP($A$6:$A$27, Table1[#All], 20, FALSE)</f>
        <v>124.4</v>
      </c>
      <c r="F18" s="1">
        <f>VLOOKUP($A$6:$A$27, Table1[#All], 22, FALSE)</f>
        <v>61.4</v>
      </c>
    </row>
    <row r="19" spans="1:6" ht="14.4" x14ac:dyDescent="0.3">
      <c r="A19" s="1" t="s">
        <v>24</v>
      </c>
      <c r="B19" s="11">
        <f>VLOOKUP($A$6:$A$27, Table1[#All], 7, FALSE)</f>
        <v>34.700000000000003</v>
      </c>
      <c r="C19" s="11">
        <f>VLOOKUP($A$6:$A$27, Table1[#All], 14, FALSE)</f>
        <v>106.1</v>
      </c>
      <c r="D19" s="11">
        <f>VLOOKUP($A$6:$A$27, Table1[#All], 18, FALSE)</f>
        <v>63.6</v>
      </c>
      <c r="E19" s="11">
        <f>VLOOKUP($A$6:$A$27, Table1[#All], 20, FALSE)</f>
        <v>128.6</v>
      </c>
      <c r="F19" s="1">
        <f>VLOOKUP($A$6:$A$27, Table1[#All], 22, FALSE)</f>
        <v>63.6</v>
      </c>
    </row>
    <row r="20" spans="1:6" ht="14.4" x14ac:dyDescent="0.3">
      <c r="A20" s="1" t="s">
        <v>28</v>
      </c>
      <c r="B20" s="11">
        <f>VLOOKUP($A$6:$A$27, Table1[#All], 7, FALSE)</f>
        <v>0</v>
      </c>
      <c r="C20" s="11">
        <f>VLOOKUP($A$6:$A$27, Table1[#All], 14, FALSE)</f>
        <v>0</v>
      </c>
      <c r="D20" s="11">
        <f>VLOOKUP($A$6:$A$27, Table1[#All], 18, FALSE)</f>
        <v>0</v>
      </c>
      <c r="E20" s="11">
        <f>VLOOKUP($A$6:$A$27, Table1[#All], 20, FALSE)</f>
        <v>0</v>
      </c>
      <c r="F20" s="1">
        <f>VLOOKUP($A$6:$A$27, Table1[#All], 22, FALSE)</f>
        <v>0</v>
      </c>
    </row>
    <row r="21" spans="1:6" ht="14.4" x14ac:dyDescent="0.3">
      <c r="A21" s="1" t="s">
        <v>57</v>
      </c>
      <c r="B21" s="11">
        <f>VLOOKUP($A$6:$A$27, Table1[#All], 7, FALSE)</f>
        <v>41.3</v>
      </c>
      <c r="C21" s="11">
        <f>VLOOKUP($A$6:$A$27, Table1[#All], 14, FALSE)</f>
        <v>124.4</v>
      </c>
      <c r="D21" s="11">
        <f>VLOOKUP($A$6:$A$27, Table1[#All], 18, FALSE)</f>
        <v>75</v>
      </c>
      <c r="E21" s="11">
        <f>VLOOKUP($A$6:$A$27, Table1[#All], 20, FALSE)</f>
        <v>151.5</v>
      </c>
      <c r="F21" s="1">
        <f>VLOOKUP($A$6:$A$27, Table1[#All], 22, FALSE)</f>
        <v>75</v>
      </c>
    </row>
    <row r="22" spans="1:6" ht="14.4" x14ac:dyDescent="0.3">
      <c r="A22" s="1" t="s">
        <v>58</v>
      </c>
      <c r="B22" s="11">
        <f>VLOOKUP($A$6:$A$27, Table1[#All], 7, FALSE)</f>
        <v>-1</v>
      </c>
      <c r="C22" s="11">
        <f>VLOOKUP($A$6:$A$27, Table1[#All], 14, FALSE)</f>
        <v>-1</v>
      </c>
      <c r="D22" s="11">
        <f>VLOOKUP($A$6:$A$27, Table1[#All], 18, FALSE)</f>
        <v>-1</v>
      </c>
      <c r="E22" s="11">
        <f>VLOOKUP($A$6:$A$27, Table1[#All], 20, FALSE)</f>
        <v>-1</v>
      </c>
      <c r="F22" s="1">
        <f>VLOOKUP($A$6:$A$27, Table1[#All], 22, FALSE)</f>
        <v>-1</v>
      </c>
    </row>
    <row r="23" spans="1:6" ht="14.4" x14ac:dyDescent="0.3">
      <c r="A23" s="1" t="s">
        <v>31</v>
      </c>
      <c r="B23" s="11">
        <f>VLOOKUP($A$6:$A$27, Table1[#All], 7, FALSE)</f>
        <v>45</v>
      </c>
      <c r="C23" s="11">
        <f>VLOOKUP($A$6:$A$27, Table1[#All], 14, FALSE)</f>
        <v>133.4</v>
      </c>
      <c r="D23" s="11">
        <f>VLOOKUP($A$6:$A$27, Table1[#All], 18, FALSE)</f>
        <v>79.400000000000006</v>
      </c>
      <c r="E23" s="11">
        <f>VLOOKUP($A$6:$A$27, Table1[#All], 20, FALSE)</f>
        <v>160.9</v>
      </c>
      <c r="F23" s="1">
        <f>VLOOKUP($A$6:$A$27, Table1[#All], 22, FALSE)</f>
        <v>79.400000000000006</v>
      </c>
    </row>
    <row r="24" spans="1:6" ht="14.4" x14ac:dyDescent="0.3">
      <c r="A24" s="1" t="s">
        <v>32</v>
      </c>
      <c r="B24" s="11">
        <f>VLOOKUP($A$6:$A$27, Table1[#All], 7, FALSE)</f>
        <v>-1</v>
      </c>
      <c r="C24" s="11">
        <f>VLOOKUP($A$6:$A$27, Table1[#All], 14, FALSE)</f>
        <v>-1</v>
      </c>
      <c r="D24" s="11">
        <f>VLOOKUP($A$6:$A$27, Table1[#All], 18, FALSE)</f>
        <v>-1</v>
      </c>
      <c r="E24" s="11">
        <f>VLOOKUP($A$6:$A$27, Table1[#All], 20, FALSE)</f>
        <v>-1</v>
      </c>
      <c r="F24" s="1">
        <f>VLOOKUP($A$6:$A$27, Table1[#All], 22, FALSE)</f>
        <v>-1</v>
      </c>
    </row>
    <row r="25" spans="1:6" ht="14.4" x14ac:dyDescent="0.3">
      <c r="A25" s="1" t="s">
        <v>34</v>
      </c>
      <c r="B25" s="11">
        <f>VLOOKUP($A$6:$A$27, Table1[#All], 7, FALSE)</f>
        <v>43.3</v>
      </c>
      <c r="C25" s="11">
        <f>VLOOKUP($A$6:$A$27, Table1[#All], 14, FALSE)</f>
        <v>128.6</v>
      </c>
      <c r="D25" s="11">
        <f>VLOOKUP($A$6:$A$27, Table1[#All], 18, FALSE)</f>
        <v>79.400000000000006</v>
      </c>
      <c r="E25" s="11">
        <f>VLOOKUP($A$6:$A$27, Table1[#All], 20, FALSE)</f>
        <v>160.9</v>
      </c>
      <c r="F25" s="1">
        <f>VLOOKUP($A$6:$A$27, Table1[#All], 22, FALSE)</f>
        <v>79.400000000000006</v>
      </c>
    </row>
    <row r="26" spans="1:6" ht="14.4" x14ac:dyDescent="0.3">
      <c r="A26" s="1" t="s">
        <v>37</v>
      </c>
      <c r="B26" s="11">
        <f>VLOOKUP($A$6:$A$27, Table1[#All], 7, FALSE)</f>
        <v>49.1</v>
      </c>
      <c r="C26" s="11">
        <f>VLOOKUP($A$6:$A$27, Table1[#All], 14, FALSE)</f>
        <v>146.80000000000001</v>
      </c>
      <c r="D26" s="11">
        <f>VLOOKUP($A$6:$A$27, Table1[#All], 18, FALSE)</f>
        <v>90.9</v>
      </c>
      <c r="E26" s="11">
        <f>VLOOKUP($A$6:$A$27, Table1[#All], 20, FALSE)</f>
        <v>183.5</v>
      </c>
      <c r="F26" s="1">
        <f>VLOOKUP($A$6:$A$27, Table1[#All], 22, FALSE)</f>
        <v>90.9</v>
      </c>
    </row>
    <row r="27" spans="1:6" ht="14.4" x14ac:dyDescent="0.3">
      <c r="A27" s="1" t="s">
        <v>39</v>
      </c>
      <c r="B27" s="11">
        <f>VLOOKUP($A$6:$A$27, Table1[#All], 7, FALSE)</f>
        <v>51.8</v>
      </c>
      <c r="C27" s="11">
        <f>VLOOKUP($A$6:$A$27, Table1[#All], 14, FALSE)</f>
        <v>156.4</v>
      </c>
      <c r="D27" s="11">
        <f>VLOOKUP($A$6:$A$27, Table1[#All], 18, FALSE)</f>
        <v>93.1</v>
      </c>
      <c r="E27" s="11">
        <f>VLOOKUP($A$6:$A$27, Table1[#All], 20, FALSE)</f>
        <v>188.1</v>
      </c>
      <c r="F27" s="1">
        <f>VLOOKUP($A$6:$A$27, Table1[#All], 22, FALSE)</f>
        <v>93.1</v>
      </c>
    </row>
    <row r="28" spans="1:6" ht="14.4" x14ac:dyDescent="0.3">
      <c r="A28" s="40" t="s">
        <v>82</v>
      </c>
      <c r="B28" s="17">
        <f>MIN(B6:B27)</f>
        <v>-1</v>
      </c>
      <c r="C28" s="17">
        <f>MIN(C6:C27)</f>
        <v>-1</v>
      </c>
      <c r="D28" s="17">
        <f>MIN(D6:D27)</f>
        <v>-1</v>
      </c>
      <c r="E28" s="17">
        <f>MIN(E6:E27)</f>
        <v>-1</v>
      </c>
      <c r="F28" s="17">
        <f>MIN(F6:F27)</f>
        <v>-1</v>
      </c>
    </row>
    <row r="29" spans="1:6" ht="14.4" x14ac:dyDescent="0.3">
      <c r="A29" s="40" t="s">
        <v>83</v>
      </c>
      <c r="B29" s="17">
        <f>MAX(B6:B27)</f>
        <v>51.8</v>
      </c>
      <c r="C29" s="17">
        <f>MAX(C6:C27)</f>
        <v>156.4</v>
      </c>
      <c r="D29" s="17">
        <f>MAX(D6:D27)</f>
        <v>93.1</v>
      </c>
      <c r="E29" s="17">
        <f>MAX(E6:E27)</f>
        <v>188.1</v>
      </c>
      <c r="F29" s="17">
        <f>MAX(F6:F27)</f>
        <v>93.1</v>
      </c>
    </row>
    <row r="30" spans="1:6" ht="14.4" x14ac:dyDescent="0.3">
      <c r="A30" s="45" t="s">
        <v>84</v>
      </c>
      <c r="B30" s="46">
        <f>AVERAGE(B6:B27)</f>
        <v>20.827272727272728</v>
      </c>
      <c r="C30" s="46">
        <f>AVERAGE(C6:C27)</f>
        <v>62.377272727272725</v>
      </c>
      <c r="D30" s="46">
        <f>AVERAGE(D6:D27)</f>
        <v>37.800000000000004</v>
      </c>
      <c r="E30" s="46">
        <f>AVERAGE(E6:E27)</f>
        <v>76.418181818181822</v>
      </c>
      <c r="F30" s="46">
        <f>AVERAGE(F6:F27)</f>
        <v>37.800000000000004</v>
      </c>
    </row>
  </sheetData>
  <pageMargins left="0.7" right="0.7" top="0.75" bottom="0.75" header="0.3" footer="0.3"/>
  <ignoredErrors>
    <ignoredError sqref="B28:F30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W54"/>
  <sheetViews>
    <sheetView zoomScaleNormal="100" workbookViewId="0">
      <selection activeCell="L37" sqref="L3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23" s="26" customFormat="1" ht="21" x14ac:dyDescent="0.4">
      <c r="A1" s="27" t="s">
        <v>56</v>
      </c>
      <c r="B1" s="26" t="s">
        <v>173</v>
      </c>
    </row>
    <row r="2" spans="1:23" customFormat="1" ht="13.2" x14ac:dyDescent="0.25"/>
    <row r="3" spans="1:23" s="2" customFormat="1" x14ac:dyDescent="0.3">
      <c r="B3" s="1"/>
    </row>
    <row r="4" spans="1:23" s="2" customFormat="1" x14ac:dyDescent="0.3">
      <c r="B4" s="1" t="s">
        <v>150</v>
      </c>
    </row>
    <row r="5" spans="1:23" ht="18" x14ac:dyDescent="0.35">
      <c r="A5" s="28" t="s">
        <v>53</v>
      </c>
      <c r="B5" s="71" t="s">
        <v>180</v>
      </c>
      <c r="C5" s="71"/>
      <c r="D5" s="71"/>
      <c r="E5" s="71"/>
      <c r="F5" s="71"/>
      <c r="H5" s="71" t="s">
        <v>181</v>
      </c>
      <c r="I5" s="71"/>
      <c r="J5" s="71"/>
      <c r="K5" s="71"/>
      <c r="L5" s="71"/>
      <c r="M5" s="71"/>
      <c r="N5" s="71"/>
      <c r="O5" s="71"/>
      <c r="P5" s="71"/>
      <c r="R5" s="71" t="s">
        <v>182</v>
      </c>
      <c r="S5" s="71"/>
      <c r="T5" s="71"/>
      <c r="U5" s="71"/>
      <c r="V5" s="71"/>
      <c r="W5" s="71"/>
    </row>
    <row r="6" spans="1:23" ht="18" x14ac:dyDescent="0.35">
      <c r="A6" s="28" t="s">
        <v>152</v>
      </c>
      <c r="B6" s="72" t="s">
        <v>183</v>
      </c>
      <c r="C6" s="72"/>
      <c r="D6" s="72"/>
      <c r="E6" s="72"/>
      <c r="F6" s="72"/>
      <c r="G6" s="72"/>
      <c r="H6" s="72"/>
      <c r="I6" s="72"/>
    </row>
    <row r="7" spans="1:23" ht="18" x14ac:dyDescent="0.35">
      <c r="A7" s="28"/>
      <c r="B7" s="72" t="s">
        <v>185</v>
      </c>
      <c r="C7" s="72"/>
      <c r="D7" s="72"/>
      <c r="E7" s="72"/>
      <c r="F7" s="72"/>
      <c r="G7" s="72"/>
      <c r="H7" s="72"/>
      <c r="I7" s="72"/>
    </row>
    <row r="8" spans="1:23" x14ac:dyDescent="0.3">
      <c r="B8" s="72" t="s">
        <v>184</v>
      </c>
      <c r="C8" s="72"/>
      <c r="D8" s="72"/>
      <c r="E8" s="72"/>
      <c r="F8" s="72"/>
      <c r="G8" s="72"/>
      <c r="H8" s="72"/>
      <c r="I8" s="72"/>
    </row>
    <row r="9" spans="1:23" ht="23.4" x14ac:dyDescent="0.45">
      <c r="A9" s="14" t="s">
        <v>164</v>
      </c>
      <c r="I9" s="2"/>
      <c r="J9" s="2"/>
    </row>
    <row r="10" spans="1:23" x14ac:dyDescent="0.3">
      <c r="A10" s="18" t="s">
        <v>102</v>
      </c>
      <c r="B10" s="13" t="s">
        <v>49</v>
      </c>
      <c r="C10" s="13" t="s">
        <v>50</v>
      </c>
      <c r="D10" s="13" t="s">
        <v>51</v>
      </c>
      <c r="E10" s="13" t="s">
        <v>52</v>
      </c>
      <c r="F10" s="13" t="s">
        <v>54</v>
      </c>
      <c r="I10" s="2"/>
      <c r="J10" s="2"/>
    </row>
    <row r="11" spans="1:23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23" ht="23.4" x14ac:dyDescent="0.45">
      <c r="A14" s="14" t="s">
        <v>161</v>
      </c>
    </row>
    <row r="15" spans="1:23" x14ac:dyDescent="0.3">
      <c r="A15" s="9" t="s">
        <v>103</v>
      </c>
      <c r="B15" s="12" t="s">
        <v>49</v>
      </c>
      <c r="C15" s="61" t="s">
        <v>50</v>
      </c>
      <c r="D15" s="63" t="s">
        <v>51</v>
      </c>
      <c r="E15" s="9" t="s">
        <v>52</v>
      </c>
      <c r="F15" s="8" t="s">
        <v>54</v>
      </c>
    </row>
    <row r="16" spans="1:23" x14ac:dyDescent="0.3">
      <c r="A16" s="1" t="s">
        <v>120</v>
      </c>
      <c r="B16" s="62">
        <f>INT(LEFT(Table3[[#This Row],[values]], FIND("-", Table3[[#This Row],[values]])-1))</f>
        <v>20000</v>
      </c>
      <c r="C16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16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16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16" s="64">
        <f>INT(RIGHT(Table3[[#This Row],[values]], LEN(Table3[[#This Row],[values]]) - FIND("#", SUBSTITUTE(Table3[[#This Row],[values]], "-", "#", 4))))</f>
        <v>24</v>
      </c>
    </row>
    <row r="17" spans="1:6" x14ac:dyDescent="0.3">
      <c r="A17" s="1" t="s">
        <v>121</v>
      </c>
      <c r="B17" s="62">
        <f>INT(LEFT(Table3[[#This Row],[values]], FIND("-", Table3[[#This Row],[values]])-1))</f>
        <v>20002</v>
      </c>
      <c r="C17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17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17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17" s="64">
        <f>INT(RIGHT(Table3[[#This Row],[values]], LEN(Table3[[#This Row],[values]]) - FIND("#", SUBSTITUTE(Table3[[#This Row],[values]], "-", "#", 4))))</f>
        <v>24</v>
      </c>
    </row>
    <row r="18" spans="1:6" x14ac:dyDescent="0.3">
      <c r="A18" s="1" t="s">
        <v>122</v>
      </c>
      <c r="B18" s="62">
        <f>INT(LEFT(Table3[[#This Row],[values]], FIND("-", Table3[[#This Row],[values]])-1))</f>
        <v>20004</v>
      </c>
      <c r="C18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18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18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18" s="64">
        <f>INT(RIGHT(Table3[[#This Row],[values]], LEN(Table3[[#This Row],[values]]) - FIND("#", SUBSTITUTE(Table3[[#This Row],[values]], "-", "#", 4))))</f>
        <v>24</v>
      </c>
    </row>
    <row r="19" spans="1:6" x14ac:dyDescent="0.3">
      <c r="A19" s="1" t="s">
        <v>123</v>
      </c>
      <c r="B19" s="62">
        <f>INT(LEFT(Table3[[#This Row],[values]], FIND("-", Table3[[#This Row],[values]])-1))</f>
        <v>20006</v>
      </c>
      <c r="C19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19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19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19" s="64">
        <f>INT(RIGHT(Table3[[#This Row],[values]], LEN(Table3[[#This Row],[values]]) - FIND("#", SUBSTITUTE(Table3[[#This Row],[values]], "-", "#", 4))))</f>
        <v>24</v>
      </c>
    </row>
    <row r="20" spans="1:6" x14ac:dyDescent="0.3">
      <c r="A20" s="1" t="s">
        <v>124</v>
      </c>
      <c r="B20" s="62">
        <f>INT(LEFT(Table3[[#This Row],[values]], FIND("-", Table3[[#This Row],[values]])-1))</f>
        <v>20008</v>
      </c>
      <c r="C20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0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0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0" s="64">
        <f>INT(RIGHT(Table3[[#This Row],[values]], LEN(Table3[[#This Row],[values]]) - FIND("#", SUBSTITUTE(Table3[[#This Row],[values]], "-", "#", 4))))</f>
        <v>24</v>
      </c>
    </row>
    <row r="21" spans="1:6" x14ac:dyDescent="0.3">
      <c r="A21" s="1" t="s">
        <v>125</v>
      </c>
      <c r="B21" s="62">
        <f>INT(LEFT(Table3[[#This Row],[values]], FIND("-", Table3[[#This Row],[values]])-1))</f>
        <v>20010</v>
      </c>
      <c r="C21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1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1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1" s="64">
        <f>INT(RIGHT(Table3[[#This Row],[values]], LEN(Table3[[#This Row],[values]]) - FIND("#", SUBSTITUTE(Table3[[#This Row],[values]], "-", "#", 4))))</f>
        <v>24</v>
      </c>
    </row>
    <row r="22" spans="1:6" x14ac:dyDescent="0.3">
      <c r="A22" s="1" t="s">
        <v>126</v>
      </c>
      <c r="B22" s="62">
        <f>INT(LEFT(Table3[[#This Row],[values]], FIND("-", Table3[[#This Row],[values]])-1))</f>
        <v>20012</v>
      </c>
      <c r="C22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2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2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2" s="64">
        <f>INT(RIGHT(Table3[[#This Row],[values]], LEN(Table3[[#This Row],[values]]) - FIND("#", SUBSTITUTE(Table3[[#This Row],[values]], "-", "#", 4))))</f>
        <v>24</v>
      </c>
    </row>
    <row r="23" spans="1:6" x14ac:dyDescent="0.3">
      <c r="A23" s="1" t="s">
        <v>127</v>
      </c>
      <c r="B23" s="62">
        <f>INT(LEFT(Table3[[#This Row],[values]], FIND("-", Table3[[#This Row],[values]])-1))</f>
        <v>20014</v>
      </c>
      <c r="C23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3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3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3" s="64">
        <f>INT(RIGHT(Table3[[#This Row],[values]], LEN(Table3[[#This Row],[values]]) - FIND("#", SUBSTITUTE(Table3[[#This Row],[values]], "-", "#", 4))))</f>
        <v>24</v>
      </c>
    </row>
    <row r="24" spans="1:6" x14ac:dyDescent="0.3">
      <c r="A24" s="1" t="s">
        <v>128</v>
      </c>
      <c r="B24" s="62">
        <f>INT(LEFT(Table3[[#This Row],[values]], FIND("-", Table3[[#This Row],[values]])-1))</f>
        <v>20016</v>
      </c>
      <c r="C24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4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4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4" s="64">
        <f>INT(RIGHT(Table3[[#This Row],[values]], LEN(Table3[[#This Row],[values]]) - FIND("#", SUBSTITUTE(Table3[[#This Row],[values]], "-", "#", 4))))</f>
        <v>24</v>
      </c>
    </row>
    <row r="25" spans="1:6" x14ac:dyDescent="0.3">
      <c r="A25" s="1" t="s">
        <v>129</v>
      </c>
      <c r="B25" s="62">
        <f>INT(LEFT(Table3[[#This Row],[values]], FIND("-", Table3[[#This Row],[values]])-1))</f>
        <v>20018</v>
      </c>
      <c r="C25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5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5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5" s="64">
        <f>INT(RIGHT(Table3[[#This Row],[values]], LEN(Table3[[#This Row],[values]]) - FIND("#", SUBSTITUTE(Table3[[#This Row],[values]], "-", "#", 4))))</f>
        <v>24</v>
      </c>
    </row>
    <row r="26" spans="1:6" x14ac:dyDescent="0.3">
      <c r="A26" s="1" t="s">
        <v>130</v>
      </c>
      <c r="B26" s="62">
        <f>INT(LEFT(Table3[[#This Row],[values]], FIND("-", Table3[[#This Row],[values]])-1))</f>
        <v>20020</v>
      </c>
      <c r="C26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6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6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6" s="64">
        <f>INT(RIGHT(Table3[[#This Row],[values]], LEN(Table3[[#This Row],[values]]) - FIND("#", SUBSTITUTE(Table3[[#This Row],[values]], "-", "#", 4))))</f>
        <v>24</v>
      </c>
    </row>
    <row r="27" spans="1:6" x14ac:dyDescent="0.3">
      <c r="A27" s="1" t="s">
        <v>131</v>
      </c>
      <c r="B27" s="62">
        <f>INT(LEFT(Table3[[#This Row],[values]], FIND("-", Table3[[#This Row],[values]])-1))</f>
        <v>20022</v>
      </c>
      <c r="C27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7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7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7" s="64">
        <f>INT(RIGHT(Table3[[#This Row],[values]], LEN(Table3[[#This Row],[values]]) - FIND("#", SUBSTITUTE(Table3[[#This Row],[values]], "-", "#", 4))))</f>
        <v>24</v>
      </c>
    </row>
    <row r="28" spans="1:6" x14ac:dyDescent="0.3">
      <c r="A28" s="1" t="s">
        <v>132</v>
      </c>
      <c r="B28" s="62">
        <f>INT(LEFT(Table3[[#This Row],[values]], FIND("-", Table3[[#This Row],[values]])-1))</f>
        <v>20024</v>
      </c>
      <c r="C28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8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8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8" s="64">
        <f>INT(RIGHT(Table3[[#This Row],[values]], LEN(Table3[[#This Row],[values]]) - FIND("#", SUBSTITUTE(Table3[[#This Row],[values]], "-", "#", 4))))</f>
        <v>24</v>
      </c>
    </row>
    <row r="29" spans="1:6" x14ac:dyDescent="0.3">
      <c r="A29" s="1" t="s">
        <v>133</v>
      </c>
      <c r="B29" s="62">
        <f>INT(LEFT(Table3[[#This Row],[values]], FIND("-", Table3[[#This Row],[values]])-1))</f>
        <v>20026</v>
      </c>
      <c r="C29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29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29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29" s="64">
        <f>INT(RIGHT(Table3[[#This Row],[values]], LEN(Table3[[#This Row],[values]]) - FIND("#", SUBSTITUTE(Table3[[#This Row],[values]], "-", "#", 4))))</f>
        <v>24</v>
      </c>
    </row>
    <row r="30" spans="1:6" x14ac:dyDescent="0.3">
      <c r="A30" s="1" t="s">
        <v>134</v>
      </c>
      <c r="B30" s="62">
        <f>INT(LEFT(Table3[[#This Row],[values]], FIND("-", Table3[[#This Row],[values]])-1))</f>
        <v>20028</v>
      </c>
      <c r="C30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0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0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0" s="64">
        <f>INT(RIGHT(Table3[[#This Row],[values]], LEN(Table3[[#This Row],[values]]) - FIND("#", SUBSTITUTE(Table3[[#This Row],[values]], "-", "#", 4))))</f>
        <v>24</v>
      </c>
    </row>
    <row r="31" spans="1:6" x14ac:dyDescent="0.3">
      <c r="A31" s="1" t="s">
        <v>135</v>
      </c>
      <c r="B31" s="62">
        <f>INT(LEFT(Table3[[#This Row],[values]], FIND("-", Table3[[#This Row],[values]])-1))</f>
        <v>20030</v>
      </c>
      <c r="C31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1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1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1" s="64">
        <f>INT(RIGHT(Table3[[#This Row],[values]], LEN(Table3[[#This Row],[values]]) - FIND("#", SUBSTITUTE(Table3[[#This Row],[values]], "-", "#", 4))))</f>
        <v>24</v>
      </c>
    </row>
    <row r="32" spans="1:6" x14ac:dyDescent="0.3">
      <c r="A32" s="1" t="s">
        <v>136</v>
      </c>
      <c r="B32" s="62">
        <f>INT(LEFT(Table3[[#This Row],[values]], FIND("-", Table3[[#This Row],[values]])-1))</f>
        <v>20032</v>
      </c>
      <c r="C32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2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2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2" s="64">
        <f>INT(RIGHT(Table3[[#This Row],[values]], LEN(Table3[[#This Row],[values]]) - FIND("#", SUBSTITUTE(Table3[[#This Row],[values]], "-", "#", 4))))</f>
        <v>24</v>
      </c>
    </row>
    <row r="33" spans="1:6" x14ac:dyDescent="0.3">
      <c r="A33" s="1" t="s">
        <v>137</v>
      </c>
      <c r="B33" s="62">
        <f>INT(LEFT(Table3[[#This Row],[values]], FIND("-", Table3[[#This Row],[values]])-1))</f>
        <v>20034</v>
      </c>
      <c r="C33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3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3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3" s="64">
        <f>INT(RIGHT(Table3[[#This Row],[values]], LEN(Table3[[#This Row],[values]]) - FIND("#", SUBSTITUTE(Table3[[#This Row],[values]], "-", "#", 4))))</f>
        <v>24</v>
      </c>
    </row>
    <row r="34" spans="1:6" x14ac:dyDescent="0.3">
      <c r="A34" s="1" t="s">
        <v>138</v>
      </c>
      <c r="B34" s="62">
        <f>INT(LEFT(Table3[[#This Row],[values]], FIND("-", Table3[[#This Row],[values]])-1))</f>
        <v>20036</v>
      </c>
      <c r="C34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4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4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4" s="64">
        <f>INT(RIGHT(Table3[[#This Row],[values]], LEN(Table3[[#This Row],[values]]) - FIND("#", SUBSTITUTE(Table3[[#This Row],[values]], "-", "#", 4))))</f>
        <v>24</v>
      </c>
    </row>
    <row r="35" spans="1:6" x14ac:dyDescent="0.3">
      <c r="A35" s="1" t="s">
        <v>139</v>
      </c>
      <c r="B35" s="62">
        <f>INT(LEFT(Table3[[#This Row],[values]], FIND("-", Table3[[#This Row],[values]])-1))</f>
        <v>20038</v>
      </c>
      <c r="C35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5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5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5" s="64">
        <f>INT(RIGHT(Table3[[#This Row],[values]], LEN(Table3[[#This Row],[values]]) - FIND("#", SUBSTITUTE(Table3[[#This Row],[values]], "-", "#", 4))))</f>
        <v>24</v>
      </c>
    </row>
    <row r="36" spans="1:6" x14ac:dyDescent="0.3">
      <c r="A36" s="1" t="s">
        <v>140</v>
      </c>
      <c r="B36" s="62">
        <f>INT(LEFT(Table3[[#This Row],[values]], FIND("-", Table3[[#This Row],[values]])-1))</f>
        <v>20040</v>
      </c>
      <c r="C36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6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6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6" s="64">
        <f>INT(RIGHT(Table3[[#This Row],[values]], LEN(Table3[[#This Row],[values]]) - FIND("#", SUBSTITUTE(Table3[[#This Row],[values]], "-", "#", 4))))</f>
        <v>24</v>
      </c>
    </row>
    <row r="37" spans="1:6" x14ac:dyDescent="0.3">
      <c r="A37" s="1" t="s">
        <v>141</v>
      </c>
      <c r="B37" s="62">
        <f>INT(LEFT(Table3[[#This Row],[values]], FIND("-", Table3[[#This Row],[values]])-1))</f>
        <v>20042</v>
      </c>
      <c r="C37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7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7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7" s="64">
        <f>INT(RIGHT(Table3[[#This Row],[values]], LEN(Table3[[#This Row],[values]]) - FIND("#", SUBSTITUTE(Table3[[#This Row],[values]], "-", "#", 4))))</f>
        <v>24</v>
      </c>
    </row>
    <row r="38" spans="1:6" x14ac:dyDescent="0.3">
      <c r="A38" s="1" t="s">
        <v>142</v>
      </c>
      <c r="B38" s="62">
        <f>INT(LEFT(Table3[[#This Row],[values]], FIND("-", Table3[[#This Row],[values]])-1))</f>
        <v>20044</v>
      </c>
      <c r="C38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8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8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8" s="64">
        <f>INT(RIGHT(Table3[[#This Row],[values]], LEN(Table3[[#This Row],[values]]) - FIND("#", SUBSTITUTE(Table3[[#This Row],[values]], "-", "#", 4))))</f>
        <v>24</v>
      </c>
    </row>
    <row r="39" spans="1:6" x14ac:dyDescent="0.3">
      <c r="A39" s="1" t="s">
        <v>143</v>
      </c>
      <c r="B39" s="62">
        <f>INT(LEFT(Table3[[#This Row],[values]], FIND("-", Table3[[#This Row],[values]])-1))</f>
        <v>20046</v>
      </c>
      <c r="C39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39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39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39" s="64">
        <f>INT(RIGHT(Table3[[#This Row],[values]], LEN(Table3[[#This Row],[values]]) - FIND("#", SUBSTITUTE(Table3[[#This Row],[values]], "-", "#", 4))))</f>
        <v>24</v>
      </c>
    </row>
    <row r="40" spans="1:6" x14ac:dyDescent="0.3">
      <c r="A40" s="1" t="s">
        <v>144</v>
      </c>
      <c r="B40" s="62">
        <f>INT(LEFT(Table3[[#This Row],[values]], FIND("-", Table3[[#This Row],[values]])-1))</f>
        <v>20048</v>
      </c>
      <c r="C40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0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0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0" s="64">
        <f>INT(RIGHT(Table3[[#This Row],[values]], LEN(Table3[[#This Row],[values]]) - FIND("#", SUBSTITUTE(Table3[[#This Row],[values]], "-", "#", 4))))</f>
        <v>24</v>
      </c>
    </row>
    <row r="41" spans="1:6" x14ac:dyDescent="0.3">
      <c r="A41" s="1" t="s">
        <v>145</v>
      </c>
      <c r="B41" s="62">
        <f>INT(LEFT(Table3[[#This Row],[values]], FIND("-", Table3[[#This Row],[values]])-1))</f>
        <v>20050</v>
      </c>
      <c r="C41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1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1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1" s="64">
        <f>INT(RIGHT(Table3[[#This Row],[values]], LEN(Table3[[#This Row],[values]]) - FIND("#", SUBSTITUTE(Table3[[#This Row],[values]], "-", "#", 4))))</f>
        <v>24</v>
      </c>
    </row>
    <row r="42" spans="1:6" x14ac:dyDescent="0.3">
      <c r="A42" s="1" t="s">
        <v>146</v>
      </c>
      <c r="B42" s="62">
        <f>INT(LEFT(Table3[[#This Row],[values]], FIND("-", Table3[[#This Row],[values]])-1))</f>
        <v>20052</v>
      </c>
      <c r="C42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2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2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2" s="64">
        <f>INT(RIGHT(Table3[[#This Row],[values]], LEN(Table3[[#This Row],[values]]) - FIND("#", SUBSTITUTE(Table3[[#This Row],[values]], "-", "#", 4))))</f>
        <v>24</v>
      </c>
    </row>
    <row r="43" spans="1:6" x14ac:dyDescent="0.3">
      <c r="A43" s="1" t="s">
        <v>147</v>
      </c>
      <c r="B43" s="62">
        <f>INT(LEFT(Table3[[#This Row],[values]], FIND("-", Table3[[#This Row],[values]])-1))</f>
        <v>20054</v>
      </c>
      <c r="C43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3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3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3" s="64">
        <f>INT(RIGHT(Table3[[#This Row],[values]], LEN(Table3[[#This Row],[values]]) - FIND("#", SUBSTITUTE(Table3[[#This Row],[values]], "-", "#", 4))))</f>
        <v>24</v>
      </c>
    </row>
    <row r="44" spans="1:6" x14ac:dyDescent="0.3">
      <c r="A44" s="1" t="s">
        <v>148</v>
      </c>
      <c r="B44" s="62">
        <f>INT(LEFT(Table3[[#This Row],[values]], FIND("-", Table3[[#This Row],[values]])-1))</f>
        <v>20058</v>
      </c>
      <c r="C44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4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4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4" s="64">
        <f>INT(RIGHT(Table3[[#This Row],[values]], LEN(Table3[[#This Row],[values]]) - FIND("#", SUBSTITUTE(Table3[[#This Row],[values]], "-", "#", 4))))</f>
        <v>24</v>
      </c>
    </row>
    <row r="45" spans="1:6" x14ac:dyDescent="0.3">
      <c r="A45" s="1" t="s">
        <v>149</v>
      </c>
      <c r="B45" s="62">
        <f>INT(LEFT(Table3[[#This Row],[values]], FIND("-", Table3[[#This Row],[values]])-1))</f>
        <v>20060</v>
      </c>
      <c r="C45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5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5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5" s="64">
        <f>INT(RIGHT(Table3[[#This Row],[values]], LEN(Table3[[#This Row],[values]]) - FIND("#", SUBSTITUTE(Table3[[#This Row],[values]], "-", "#", 4))))</f>
        <v>24</v>
      </c>
    </row>
    <row r="46" spans="1:6" x14ac:dyDescent="0.3">
      <c r="A46" s="1" t="s">
        <v>111</v>
      </c>
      <c r="B46" s="62">
        <f>INT(LEFT(Table3[[#This Row],[values]], FIND("-", Table3[[#This Row],[values]])-1))</f>
        <v>21000</v>
      </c>
      <c r="C46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6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6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6" s="64">
        <f>INT(RIGHT(Table3[[#This Row],[values]], LEN(Table3[[#This Row],[values]]) - FIND("#", SUBSTITUTE(Table3[[#This Row],[values]], "-", "#", 4))))</f>
        <v>24</v>
      </c>
    </row>
    <row r="47" spans="1:6" x14ac:dyDescent="0.3">
      <c r="A47" s="1" t="s">
        <v>112</v>
      </c>
      <c r="B47" s="62">
        <f>INT(LEFT(Table3[[#This Row],[values]], FIND("-", Table3[[#This Row],[values]])-1))</f>
        <v>21002</v>
      </c>
      <c r="C47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7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7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7" s="64">
        <f>INT(RIGHT(Table3[[#This Row],[values]], LEN(Table3[[#This Row],[values]]) - FIND("#", SUBSTITUTE(Table3[[#This Row],[values]], "-", "#", 4))))</f>
        <v>24</v>
      </c>
    </row>
    <row r="48" spans="1:6" x14ac:dyDescent="0.3">
      <c r="A48" s="1" t="s">
        <v>113</v>
      </c>
      <c r="B48" s="62">
        <f>INT(LEFT(Table3[[#This Row],[values]], FIND("-", Table3[[#This Row],[values]])-1))</f>
        <v>21004</v>
      </c>
      <c r="C48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8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8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8" s="64">
        <f>INT(RIGHT(Table3[[#This Row],[values]], LEN(Table3[[#This Row],[values]]) - FIND("#", SUBSTITUTE(Table3[[#This Row],[values]], "-", "#", 4))))</f>
        <v>24</v>
      </c>
    </row>
    <row r="49" spans="1:6" x14ac:dyDescent="0.3">
      <c r="A49" s="1" t="s">
        <v>114</v>
      </c>
      <c r="B49" s="62">
        <f>INT(LEFT(Table3[[#This Row],[values]], FIND("-", Table3[[#This Row],[values]])-1))</f>
        <v>21006</v>
      </c>
      <c r="C49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49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49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49" s="64">
        <f>INT(RIGHT(Table3[[#This Row],[values]], LEN(Table3[[#This Row],[values]]) - FIND("#", SUBSTITUTE(Table3[[#This Row],[values]], "-", "#", 4))))</f>
        <v>24</v>
      </c>
    </row>
    <row r="50" spans="1:6" x14ac:dyDescent="0.3">
      <c r="A50" s="1" t="s">
        <v>115</v>
      </c>
      <c r="B50" s="62">
        <f>INT(LEFT(Table3[[#This Row],[values]], FIND("-", Table3[[#This Row],[values]])-1))</f>
        <v>21008</v>
      </c>
      <c r="C50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50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50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50" s="64">
        <f>INT(RIGHT(Table3[[#This Row],[values]], LEN(Table3[[#This Row],[values]]) - FIND("#", SUBSTITUTE(Table3[[#This Row],[values]], "-", "#", 4))))</f>
        <v>24</v>
      </c>
    </row>
    <row r="51" spans="1:6" x14ac:dyDescent="0.3">
      <c r="A51" s="1" t="s">
        <v>116</v>
      </c>
      <c r="B51" s="62">
        <f>INT(LEFT(Table3[[#This Row],[values]], FIND("-", Table3[[#This Row],[values]])-1))</f>
        <v>21010</v>
      </c>
      <c r="C51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51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51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51" s="64">
        <f>INT(RIGHT(Table3[[#This Row],[values]], LEN(Table3[[#This Row],[values]]) - FIND("#", SUBSTITUTE(Table3[[#This Row],[values]], "-", "#", 4))))</f>
        <v>24</v>
      </c>
    </row>
    <row r="52" spans="1:6" x14ac:dyDescent="0.3">
      <c r="A52" s="1" t="s">
        <v>117</v>
      </c>
      <c r="B52" s="62">
        <f>INT(LEFT(Table3[[#This Row],[values]], FIND("-", Table3[[#This Row],[values]])-1))</f>
        <v>21012</v>
      </c>
      <c r="C52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52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52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52" s="64">
        <f>INT(RIGHT(Table3[[#This Row],[values]], LEN(Table3[[#This Row],[values]]) - FIND("#", SUBSTITUTE(Table3[[#This Row],[values]], "-", "#", 4))))</f>
        <v>24</v>
      </c>
    </row>
    <row r="53" spans="1:6" x14ac:dyDescent="0.3">
      <c r="A53" s="1" t="s">
        <v>118</v>
      </c>
      <c r="B53" s="62">
        <f>INT(LEFT(Table3[[#This Row],[values]], FIND("-", Table3[[#This Row],[values]])-1))</f>
        <v>21014</v>
      </c>
      <c r="C53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53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53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53" s="64">
        <f>INT(RIGHT(Table3[[#This Row],[values]], LEN(Table3[[#This Row],[values]]) - FIND("#", SUBSTITUTE(Table3[[#This Row],[values]], "-", "#", 4))))</f>
        <v>24</v>
      </c>
    </row>
    <row r="54" spans="1:6" x14ac:dyDescent="0.3">
      <c r="A54" s="1" t="s">
        <v>119</v>
      </c>
      <c r="B54" s="62">
        <f>INT(LEFT(Table3[[#This Row],[values]], FIND("-", Table3[[#This Row],[values]])-1))</f>
        <v>21016</v>
      </c>
      <c r="C54" s="1" t="str">
        <f>MID(Table3[[#This Row],[values]], FIND("-", Table3[[#This Row],[values]]) + 1, FIND("-", Table3[[#This Row],[values]], FIND("-", Table3[[#This Row],[values]]) + 1) - FIND("-", Table3[[#This Row],[values]]) - 1)</f>
        <v>Monday</v>
      </c>
      <c r="D54" s="62">
        <f>INT(MID(Table3[[#This Row],[values]], FIND("-", Table3[[#This Row],[values]], FIND("-", Table3[[#This Row],[values]]) + 1) + 1, FIND("-", Table3[[#This Row],[values]], FIND("-", Table3[[#This Row],[values]], FIND("-", Table3[[#This Row],[values]]) + 1) + 1) - FIND("-", Table3[[#This Row],[values]], FIND("-", Table3[[#This Row],[values]]) + 1) - 1))</f>
        <v>0</v>
      </c>
      <c r="E54" s="1" t="str">
        <f>MID(Table3[[#This Row],[values]], FIND("-", Table3[[#This Row],[values]], FIND("-", Table3[[#This Row],[values]], FIND("-", Table3[[#This Row],[values]]) + 1) + 1) + 1, FIND("-", Table3[[#This Row],[values]], FIND("-", Table3[[#This Row],[values]], FIND("-", Table3[[#This Row],[values]], FIND("-", Table3[[#This Row],[values]]) + 1) + 1) + 1) - FIND("-", Table3[[#This Row],[values]], FIND("-", Table3[[#This Row],[values]], FIND("-", Table3[[#This Row],[values]]) + 1) + 1) - 1)</f>
        <v>Sunday</v>
      </c>
      <c r="F54" s="64">
        <f>INT(RIGHT(Table3[[#This Row],[values]], LEN(Table3[[#This Row],[values]]) - FIND("#", SUBSTITUTE(Table3[[#This Row],[values]], "-", "#", 4))))</f>
        <v>24</v>
      </c>
    </row>
  </sheetData>
  <mergeCells count="6">
    <mergeCell ref="R5:W5"/>
    <mergeCell ref="B6:I6"/>
    <mergeCell ref="B7:I7"/>
    <mergeCell ref="B8:I8"/>
    <mergeCell ref="B5:F5"/>
    <mergeCell ref="H5:P5"/>
  </mergeCells>
  <phoneticPr fontId="1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O22"/>
  <sheetViews>
    <sheetView zoomScaleNormal="100" workbookViewId="0">
      <selection activeCell="J19" sqref="J1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5" ht="21" x14ac:dyDescent="0.4">
      <c r="A1" s="27" t="s">
        <v>85</v>
      </c>
      <c r="B1" s="26" t="s">
        <v>166</v>
      </c>
    </row>
    <row r="2" spans="1:15" ht="18" x14ac:dyDescent="0.35">
      <c r="B2" s="25" t="s">
        <v>165</v>
      </c>
    </row>
    <row r="5" spans="1:15" ht="14.4" x14ac:dyDescent="0.3">
      <c r="B5" s="1" t="s">
        <v>150</v>
      </c>
    </row>
    <row r="6" spans="1:15" ht="15.6" x14ac:dyDescent="0.3">
      <c r="A6" s="3" t="s">
        <v>53</v>
      </c>
      <c r="B6" s="65"/>
      <c r="C6" s="73" t="s">
        <v>191</v>
      </c>
      <c r="D6" s="72"/>
      <c r="E6" s="72"/>
      <c r="F6" s="72"/>
      <c r="G6" s="72"/>
      <c r="H6" s="65"/>
      <c r="I6" s="65"/>
      <c r="J6" s="65"/>
      <c r="K6" s="65"/>
    </row>
    <row r="7" spans="1:15" ht="14.4" x14ac:dyDescent="0.3">
      <c r="A7" s="3" t="s">
        <v>152</v>
      </c>
      <c r="B7" s="71" t="s">
        <v>192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15" x14ac:dyDescent="0.3"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</row>
    <row r="10" spans="1:15" ht="23.4" x14ac:dyDescent="0.45">
      <c r="A10" s="14" t="s">
        <v>161</v>
      </c>
    </row>
    <row r="11" spans="1:15" ht="14.4" x14ac:dyDescent="0.3">
      <c r="A11" s="48" t="s">
        <v>86</v>
      </c>
      <c r="B11" s="12" t="s">
        <v>87</v>
      </c>
      <c r="C11" s="8" t="s">
        <v>88</v>
      </c>
    </row>
    <row r="12" spans="1:15" ht="14.4" x14ac:dyDescent="0.3">
      <c r="A12" s="47">
        <v>44927</v>
      </c>
      <c r="B12" s="13" t="s">
        <v>59</v>
      </c>
      <c r="C12" s="66">
        <v>200</v>
      </c>
    </row>
    <row r="13" spans="1:15" ht="14.4" x14ac:dyDescent="0.3">
      <c r="A13" s="47">
        <v>44928</v>
      </c>
      <c r="B13" s="13" t="s">
        <v>60</v>
      </c>
      <c r="C13" s="66" t="e">
        <v>#N/A</v>
      </c>
    </row>
    <row r="14" spans="1:15" ht="14.4" x14ac:dyDescent="0.3">
      <c r="A14" s="47">
        <v>44929</v>
      </c>
      <c r="B14" s="13" t="s">
        <v>61</v>
      </c>
      <c r="C14" s="66">
        <v>50</v>
      </c>
    </row>
    <row r="15" spans="1:15" ht="14.4" x14ac:dyDescent="0.3">
      <c r="A15" s="47">
        <v>44930</v>
      </c>
      <c r="B15" s="13" t="s">
        <v>62</v>
      </c>
      <c r="C15" s="66" t="e">
        <v>#N/A</v>
      </c>
    </row>
    <row r="16" spans="1:15" ht="14.4" x14ac:dyDescent="0.3">
      <c r="A16" s="47">
        <v>44931</v>
      </c>
      <c r="B16" s="13" t="s">
        <v>63</v>
      </c>
      <c r="C16" s="66">
        <v>10</v>
      </c>
    </row>
    <row r="17" spans="1:3" ht="14.4" x14ac:dyDescent="0.3">
      <c r="A17" s="47">
        <v>44932</v>
      </c>
      <c r="B17" s="13" t="s">
        <v>153</v>
      </c>
      <c r="C17" s="66">
        <v>150</v>
      </c>
    </row>
    <row r="18" spans="1:3" ht="14.4" x14ac:dyDescent="0.3">
      <c r="A18" s="47">
        <v>44933</v>
      </c>
      <c r="B18" s="13" t="s">
        <v>154</v>
      </c>
      <c r="C18" s="66">
        <v>80</v>
      </c>
    </row>
    <row r="19" spans="1:3" ht="14.4" x14ac:dyDescent="0.3">
      <c r="A19" s="47">
        <v>44934</v>
      </c>
      <c r="B19" s="13" t="s">
        <v>155</v>
      </c>
      <c r="C19" s="66" t="e">
        <v>#N/A</v>
      </c>
    </row>
    <row r="20" spans="1:3" ht="14.4" x14ac:dyDescent="0.3">
      <c r="A20" s="47">
        <v>44935</v>
      </c>
      <c r="B20" s="13" t="s">
        <v>156</v>
      </c>
      <c r="C20" s="66">
        <v>30</v>
      </c>
    </row>
    <row r="21" spans="1:3" ht="14.4" x14ac:dyDescent="0.3">
      <c r="A21" s="49">
        <v>44936</v>
      </c>
      <c r="B21" s="50" t="s">
        <v>157</v>
      </c>
      <c r="C21" s="67" t="e">
        <v>#N/A</v>
      </c>
    </row>
    <row r="22" spans="1:3" ht="14.4" x14ac:dyDescent="0.3">
      <c r="B22" s="13" t="s">
        <v>158</v>
      </c>
      <c r="C22" s="68">
        <f t="array" ref="C22">SUM(IFERROR(Table10[Sales],20))</f>
        <v>600</v>
      </c>
    </row>
  </sheetData>
  <mergeCells count="3">
    <mergeCell ref="C6:G6"/>
    <mergeCell ref="B8:N8"/>
    <mergeCell ref="B7:O7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P35"/>
  <sheetViews>
    <sheetView tabSelected="1" zoomScaleNormal="100" workbookViewId="0">
      <selection activeCell="M21" sqref="M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6" ht="21" x14ac:dyDescent="0.4">
      <c r="A1" s="27" t="s">
        <v>98</v>
      </c>
      <c r="B1" s="26" t="s">
        <v>174</v>
      </c>
    </row>
    <row r="3" spans="1:16" ht="14.4" x14ac:dyDescent="0.3">
      <c r="B3" s="1" t="s">
        <v>150</v>
      </c>
    </row>
    <row r="4" spans="1:16" ht="18" x14ac:dyDescent="0.35">
      <c r="A4" s="28" t="s">
        <v>53</v>
      </c>
      <c r="B4" s="1"/>
      <c r="C4" s="74" t="s">
        <v>187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ht="18" x14ac:dyDescent="0.35">
      <c r="A5" s="28" t="s">
        <v>152</v>
      </c>
      <c r="B5" s="76" t="s">
        <v>190</v>
      </c>
      <c r="C5" s="76"/>
      <c r="D5" s="76"/>
      <c r="E5" s="76"/>
      <c r="F5" s="76"/>
      <c r="G5" s="76"/>
      <c r="H5" s="76"/>
      <c r="I5" s="76"/>
      <c r="J5" s="76"/>
    </row>
    <row r="6" spans="1:16" ht="14.4" x14ac:dyDescent="0.3">
      <c r="A6" s="3"/>
      <c r="B6" s="71" t="s">
        <v>188</v>
      </c>
      <c r="C6" s="75"/>
      <c r="D6" s="75"/>
      <c r="E6" s="75"/>
      <c r="F6" s="75"/>
      <c r="G6" s="75"/>
    </row>
    <row r="7" spans="1:16" ht="14.4" x14ac:dyDescent="0.3">
      <c r="B7" s="71" t="s">
        <v>189</v>
      </c>
      <c r="C7" s="75"/>
      <c r="D7" s="75"/>
      <c r="E7" s="75"/>
      <c r="F7" s="75"/>
      <c r="G7" s="75"/>
    </row>
    <row r="8" spans="1:16" ht="23.4" x14ac:dyDescent="0.45">
      <c r="A8" s="14" t="s">
        <v>161</v>
      </c>
      <c r="M8" s="14" t="s">
        <v>162</v>
      </c>
    </row>
    <row r="9" spans="1:16" ht="14.4" x14ac:dyDescent="0.3">
      <c r="A9" s="52" t="s">
        <v>186</v>
      </c>
      <c r="B9" s="53" t="s">
        <v>89</v>
      </c>
      <c r="C9" s="53" t="s">
        <v>90</v>
      </c>
      <c r="D9" s="53" t="s">
        <v>91</v>
      </c>
      <c r="E9" s="53" t="s">
        <v>92</v>
      </c>
      <c r="F9" s="53" t="s">
        <v>93</v>
      </c>
      <c r="G9" s="53" t="s">
        <v>94</v>
      </c>
      <c r="H9" s="53" t="s">
        <v>95</v>
      </c>
      <c r="I9" s="53" t="s">
        <v>96</v>
      </c>
      <c r="J9" s="54" t="s">
        <v>97</v>
      </c>
      <c r="M9" s="59" t="s">
        <v>43</v>
      </c>
      <c r="N9" s="60" t="s">
        <v>99</v>
      </c>
    </row>
    <row r="10" spans="1:16" ht="14.4" x14ac:dyDescent="0.3">
      <c r="A10" s="51" t="s">
        <v>89</v>
      </c>
      <c r="B10" s="15">
        <v>-1</v>
      </c>
      <c r="C10" s="15">
        <v>95</v>
      </c>
      <c r="D10" s="15">
        <v>-1</v>
      </c>
      <c r="E10" s="15">
        <v>185</v>
      </c>
      <c r="F10" s="15">
        <v>255</v>
      </c>
      <c r="G10" s="15">
        <v>305</v>
      </c>
      <c r="H10" s="15">
        <v>415</v>
      </c>
      <c r="I10" s="15">
        <v>480</v>
      </c>
      <c r="J10" s="23">
        <v>525</v>
      </c>
      <c r="M10" s="58">
        <v>10100</v>
      </c>
      <c r="N10" s="7" t="s">
        <v>89</v>
      </c>
    </row>
    <row r="11" spans="1:16" ht="14.4" x14ac:dyDescent="0.3">
      <c r="A11" s="51" t="s">
        <v>90</v>
      </c>
      <c r="B11" s="15">
        <v>95</v>
      </c>
      <c r="C11" s="15">
        <v>-1</v>
      </c>
      <c r="D11" s="15">
        <v>-1</v>
      </c>
      <c r="E11" s="15">
        <v>90</v>
      </c>
      <c r="F11" s="15">
        <v>160</v>
      </c>
      <c r="G11" s="15">
        <v>210</v>
      </c>
      <c r="H11" s="15">
        <v>325</v>
      </c>
      <c r="I11" s="15">
        <v>390</v>
      </c>
      <c r="J11" s="23">
        <v>430</v>
      </c>
      <c r="M11" s="58">
        <v>10102</v>
      </c>
      <c r="N11" s="7" t="s">
        <v>90</v>
      </c>
    </row>
    <row r="12" spans="1:16" ht="14.4" x14ac:dyDescent="0.3">
      <c r="A12" s="51" t="s">
        <v>91</v>
      </c>
      <c r="B12" s="15">
        <v>-1</v>
      </c>
      <c r="C12" s="15">
        <v>-1</v>
      </c>
      <c r="D12" s="15">
        <v>-1</v>
      </c>
      <c r="E12" s="15">
        <v>60</v>
      </c>
      <c r="F12" s="15">
        <v>130</v>
      </c>
      <c r="G12" s="15">
        <v>180</v>
      </c>
      <c r="H12" s="15">
        <v>295</v>
      </c>
      <c r="I12" s="15">
        <v>355</v>
      </c>
      <c r="J12" s="23">
        <v>400</v>
      </c>
      <c r="M12" s="58">
        <v>10104</v>
      </c>
      <c r="N12" s="7" t="s">
        <v>91</v>
      </c>
    </row>
    <row r="13" spans="1:16" ht="14.4" x14ac:dyDescent="0.3">
      <c r="A13" s="51" t="s">
        <v>92</v>
      </c>
      <c r="B13" s="15">
        <v>185</v>
      </c>
      <c r="C13" s="15">
        <v>90</v>
      </c>
      <c r="D13" s="15">
        <v>60</v>
      </c>
      <c r="E13" s="15">
        <v>-1</v>
      </c>
      <c r="F13" s="15">
        <v>70</v>
      </c>
      <c r="G13" s="15">
        <v>120</v>
      </c>
      <c r="H13" s="15">
        <v>235</v>
      </c>
      <c r="I13" s="15">
        <v>300</v>
      </c>
      <c r="J13" s="23">
        <v>340</v>
      </c>
      <c r="M13" s="58">
        <v>10106</v>
      </c>
      <c r="N13" s="7" t="s">
        <v>92</v>
      </c>
    </row>
    <row r="14" spans="1:16" ht="14.4" x14ac:dyDescent="0.3">
      <c r="A14" s="51" t="s">
        <v>93</v>
      </c>
      <c r="B14" s="15">
        <v>255</v>
      </c>
      <c r="C14" s="15">
        <v>160</v>
      </c>
      <c r="D14" s="15">
        <v>130</v>
      </c>
      <c r="E14" s="15">
        <v>70</v>
      </c>
      <c r="F14" s="15">
        <v>-1</v>
      </c>
      <c r="G14" s="15">
        <v>50</v>
      </c>
      <c r="H14" s="15">
        <v>165</v>
      </c>
      <c r="I14" s="15">
        <v>230</v>
      </c>
      <c r="J14" s="23">
        <v>270</v>
      </c>
      <c r="M14" s="58">
        <v>10108</v>
      </c>
      <c r="N14" s="7" t="s">
        <v>93</v>
      </c>
    </row>
    <row r="15" spans="1:16" ht="14.4" x14ac:dyDescent="0.3">
      <c r="A15" s="51" t="s">
        <v>94</v>
      </c>
      <c r="B15" s="15">
        <v>305</v>
      </c>
      <c r="C15" s="15">
        <v>210</v>
      </c>
      <c r="D15" s="15">
        <v>180</v>
      </c>
      <c r="E15" s="15">
        <v>120</v>
      </c>
      <c r="F15" s="15">
        <v>50</v>
      </c>
      <c r="G15" s="15">
        <v>-1</v>
      </c>
      <c r="H15" s="15">
        <v>115</v>
      </c>
      <c r="I15" s="15">
        <v>180</v>
      </c>
      <c r="J15" s="23">
        <v>220</v>
      </c>
      <c r="M15" s="58">
        <v>10110</v>
      </c>
      <c r="N15" s="7" t="s">
        <v>94</v>
      </c>
    </row>
    <row r="16" spans="1:16" ht="14.4" x14ac:dyDescent="0.3">
      <c r="A16" s="51" t="s">
        <v>95</v>
      </c>
      <c r="B16" s="15">
        <v>415</v>
      </c>
      <c r="C16" s="15">
        <v>325</v>
      </c>
      <c r="D16" s="15">
        <v>295</v>
      </c>
      <c r="E16" s="15">
        <v>235</v>
      </c>
      <c r="F16" s="15">
        <v>165</v>
      </c>
      <c r="G16" s="15">
        <v>115</v>
      </c>
      <c r="H16" s="15">
        <v>-1</v>
      </c>
      <c r="I16" s="15">
        <v>65</v>
      </c>
      <c r="J16" s="23">
        <v>105</v>
      </c>
      <c r="M16" s="58">
        <v>10112</v>
      </c>
      <c r="N16" s="7" t="s">
        <v>95</v>
      </c>
    </row>
    <row r="17" spans="1:14" ht="14.4" x14ac:dyDescent="0.3">
      <c r="A17" s="51" t="s">
        <v>96</v>
      </c>
      <c r="B17" s="15">
        <v>480</v>
      </c>
      <c r="C17" s="15">
        <v>390</v>
      </c>
      <c r="D17" s="15">
        <v>355</v>
      </c>
      <c r="E17" s="15">
        <v>300</v>
      </c>
      <c r="F17" s="15">
        <v>230</v>
      </c>
      <c r="G17" s="15">
        <v>180</v>
      </c>
      <c r="H17" s="15">
        <v>65</v>
      </c>
      <c r="I17" s="15">
        <v>-1</v>
      </c>
      <c r="J17" s="23">
        <v>40</v>
      </c>
      <c r="M17" s="58">
        <v>10114</v>
      </c>
      <c r="N17" s="7" t="s">
        <v>96</v>
      </c>
    </row>
    <row r="18" spans="1:14" ht="14.4" x14ac:dyDescent="0.3">
      <c r="A18" s="55" t="s">
        <v>97</v>
      </c>
      <c r="B18" s="56">
        <v>525</v>
      </c>
      <c r="C18" s="56">
        <v>430</v>
      </c>
      <c r="D18" s="56">
        <v>400</v>
      </c>
      <c r="E18" s="56">
        <v>340</v>
      </c>
      <c r="F18" s="56">
        <v>270</v>
      </c>
      <c r="G18" s="56">
        <v>220</v>
      </c>
      <c r="H18" s="56">
        <v>105</v>
      </c>
      <c r="I18" s="56">
        <v>40</v>
      </c>
      <c r="J18" s="57">
        <v>-1</v>
      </c>
      <c r="M18" s="58">
        <v>10116</v>
      </c>
      <c r="N18" s="7" t="s">
        <v>97</v>
      </c>
    </row>
    <row r="21" spans="1:14" ht="23.4" x14ac:dyDescent="0.45">
      <c r="A21" s="14" t="s">
        <v>167</v>
      </c>
    </row>
    <row r="22" spans="1:14" ht="14.4" x14ac:dyDescent="0.3">
      <c r="A22" s="9" t="s">
        <v>100</v>
      </c>
      <c r="B22" s="12" t="s">
        <v>101</v>
      </c>
      <c r="C22" s="9" t="s">
        <v>102</v>
      </c>
    </row>
    <row r="23" spans="1:14" ht="14.4" x14ac:dyDescent="0.3">
      <c r="A23" s="1">
        <v>10100</v>
      </c>
      <c r="B23" s="11">
        <v>10102</v>
      </c>
      <c r="C23" s="2">
        <f>INDEX(Table5[[A]:[I]],
    MATCH(VLOOKUP(Table7[name_1], Table6[], 2, FALSE), Table5[Column1], 0),
    MATCH(VLOOKUP(Table7[name_2], Table6[], 2, FALSE), Table5[[#Headers],[A]:[I]], 0)
)</f>
        <v>95</v>
      </c>
    </row>
    <row r="24" spans="1:14" ht="14.4" x14ac:dyDescent="0.3">
      <c r="A24" s="1">
        <v>10100</v>
      </c>
      <c r="B24" s="11">
        <v>10104</v>
      </c>
      <c r="C24" s="2">
        <f>INDEX(Table5[[A]:[I]],
    MATCH(VLOOKUP(Table7[name_1], Table6[], 2, FALSE), Table5[Column1], 0),
    MATCH(VLOOKUP(Table7[name_2], Table6[], 2, FALSE), Table5[[#Headers],[A]:[I]], 0)
)</f>
        <v>-1</v>
      </c>
    </row>
    <row r="25" spans="1:14" ht="14.4" x14ac:dyDescent="0.3">
      <c r="A25" s="1">
        <v>10108</v>
      </c>
      <c r="B25" s="11">
        <v>10102</v>
      </c>
      <c r="C25" s="2">
        <f>INDEX(Table5[[A]:[I]],
    MATCH(VLOOKUP(Table7[name_1], Table6[], 2, FALSE), Table5[Column1], 0),
    MATCH(VLOOKUP(Table7[name_2], Table6[], 2, FALSE), Table5[[#Headers],[A]:[I]], 0)
)</f>
        <v>160</v>
      </c>
    </row>
    <row r="26" spans="1:14" ht="14.4" x14ac:dyDescent="0.3">
      <c r="A26" s="1">
        <v>10100</v>
      </c>
      <c r="B26" s="11">
        <v>10106</v>
      </c>
      <c r="C26" s="2">
        <f>INDEX(Table5[[A]:[I]],
    MATCH(VLOOKUP(Table7[name_1], Table6[], 2, FALSE), Table5[Column1], 0),
    MATCH(VLOOKUP(Table7[name_2], Table6[], 2, FALSE), Table5[[#Headers],[A]:[I]], 0)
)</f>
        <v>185</v>
      </c>
    </row>
    <row r="27" spans="1:14" ht="14.4" x14ac:dyDescent="0.3">
      <c r="A27" s="1">
        <v>10108</v>
      </c>
      <c r="B27" s="11">
        <v>10110</v>
      </c>
      <c r="C27" s="2">
        <f>INDEX(Table5[[A]:[I]],
    MATCH(VLOOKUP(Table7[name_1], Table6[], 2, FALSE), Table5[Column1], 0),
    MATCH(VLOOKUP(Table7[name_2], Table6[], 2, FALSE), Table5[[#Headers],[A]:[I]], 0)
)</f>
        <v>50</v>
      </c>
    </row>
    <row r="28" spans="1:14" ht="14.4" x14ac:dyDescent="0.3">
      <c r="A28" s="1">
        <v>10102</v>
      </c>
      <c r="B28" s="11">
        <v>10104</v>
      </c>
      <c r="C28" s="2">
        <f>INDEX(Table5[[A]:[I]],
    MATCH(VLOOKUP(Table7[name_1], Table6[], 2, FALSE), Table5[Column1], 0),
    MATCH(VLOOKUP(Table7[name_2], Table6[], 2, FALSE), Table5[[#Headers],[A]:[I]], 0)
)</f>
        <v>-1</v>
      </c>
    </row>
    <row r="29" spans="1:14" ht="14.4" x14ac:dyDescent="0.3">
      <c r="A29" s="1">
        <v>10106</v>
      </c>
      <c r="B29" s="11">
        <v>10108</v>
      </c>
      <c r="C29" s="2">
        <f>INDEX(Table5[[A]:[I]],
    MATCH(VLOOKUP(Table7[name_1], Table6[], 2, FALSE), Table5[Column1], 0),
    MATCH(VLOOKUP(Table7[name_2], Table6[], 2, FALSE), Table5[[#Headers],[A]:[I]], 0)
)</f>
        <v>70</v>
      </c>
    </row>
    <row r="30" spans="1:14" ht="14.4" x14ac:dyDescent="0.3">
      <c r="A30" s="1">
        <v>10102</v>
      </c>
      <c r="B30" s="11">
        <v>10106</v>
      </c>
      <c r="C30" s="2">
        <f>INDEX(Table5[[A]:[I]],
    MATCH(VLOOKUP(Table7[name_1], Table6[], 2, FALSE), Table5[Column1], 0),
    MATCH(VLOOKUP(Table7[name_2], Table6[], 2, FALSE), Table5[[#Headers],[A]:[I]], 0)
)</f>
        <v>90</v>
      </c>
    </row>
    <row r="31" spans="1:14" ht="14.4" x14ac:dyDescent="0.3">
      <c r="A31" s="1">
        <v>10110</v>
      </c>
      <c r="B31" s="11">
        <v>10114</v>
      </c>
      <c r="C31" s="2">
        <f>INDEX(Table5[[A]:[I]],
    MATCH(VLOOKUP(Table7[name_1], Table6[], 2, FALSE), Table5[Column1], 0),
    MATCH(VLOOKUP(Table7[name_2], Table6[], 2, FALSE), Table5[[#Headers],[A]:[I]], 0)
)</f>
        <v>180</v>
      </c>
    </row>
    <row r="32" spans="1:14" ht="14.4" x14ac:dyDescent="0.3">
      <c r="A32" s="1">
        <v>10104</v>
      </c>
      <c r="B32" s="11">
        <v>10106</v>
      </c>
      <c r="C32" s="2">
        <f>INDEX(Table5[[A]:[I]],
    MATCH(VLOOKUP(Table7[name_1], Table6[], 2, FALSE), Table5[Column1], 0),
    MATCH(VLOOKUP(Table7[name_2], Table6[], 2, FALSE), Table5[[#Headers],[A]:[I]], 0)
)</f>
        <v>60</v>
      </c>
    </row>
    <row r="33" spans="1:3" ht="14.4" x14ac:dyDescent="0.3">
      <c r="A33" s="1">
        <v>10110</v>
      </c>
      <c r="B33" s="11">
        <v>10112</v>
      </c>
      <c r="C33" s="2">
        <f>INDEX(Table5[[A]:[I]],
    MATCH(VLOOKUP(Table7[name_1], Table6[], 2, FALSE), Table5[Column1], 0),
    MATCH(VLOOKUP(Table7[name_2], Table6[], 2, FALSE), Table5[[#Headers],[A]:[I]], 0)
)</f>
        <v>115</v>
      </c>
    </row>
    <row r="34" spans="1:3" ht="14.4" x14ac:dyDescent="0.3">
      <c r="A34" s="1">
        <v>10100</v>
      </c>
      <c r="B34" s="11">
        <v>10114</v>
      </c>
      <c r="C34" s="2">
        <f>INDEX(Table5[[A]:[I]],
    MATCH(VLOOKUP(Table7[name_1], Table6[], 2, FALSE), Table5[Column1], 0),
    MATCH(VLOOKUP(Table7[name_2], Table6[], 2, FALSE), Table5[[#Headers],[A]:[I]], 0)
)</f>
        <v>480</v>
      </c>
    </row>
    <row r="35" spans="1:3" ht="14.4" x14ac:dyDescent="0.3">
      <c r="A35" s="1">
        <v>10112</v>
      </c>
      <c r="B35" s="11">
        <v>10116</v>
      </c>
      <c r="C35" s="2">
        <f>INDEX(Table5[[A]:[I]],
    MATCH(VLOOKUP(Table7[name_1], Table6[], 2, FALSE), Table5[Column1], 0),
    MATCH(VLOOKUP(Table7[name_2], Table6[], 2, FALSE), Table5[[#Headers],[A]:[I]], 0)
)</f>
        <v>105</v>
      </c>
    </row>
  </sheetData>
  <mergeCells count="4">
    <mergeCell ref="C4:P4"/>
    <mergeCell ref="B6:G6"/>
    <mergeCell ref="B5:J5"/>
    <mergeCell ref="B7:G7"/>
  </mergeCells>
  <phoneticPr fontId="10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Anil Bhukya</cp:lastModifiedBy>
  <dcterms:created xsi:type="dcterms:W3CDTF">2015-02-10T17:33:11Z</dcterms:created>
  <dcterms:modified xsi:type="dcterms:W3CDTF">2024-10-24T16:49:25Z</dcterms:modified>
</cp:coreProperties>
</file>